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.saadat\Desktop\"/>
    </mc:Choice>
  </mc:AlternateContent>
  <bookViews>
    <workbookView xWindow="0" yWindow="0" windowWidth="15360" windowHeight="7755" activeTab="1"/>
  </bookViews>
  <sheets>
    <sheet name="سناریو بدون وثیقه" sheetId="1" r:id="rId1"/>
    <sheet name="Sheet3" sheetId="5" r:id="rId2"/>
    <sheet name="Sheet2" sheetId="4" r:id="rId3"/>
    <sheet name="سناریو با وثیقه" sheetId="2" r:id="rId4"/>
    <sheet name="Sheet1" sheetId="3" r:id="rId5"/>
  </sheets>
  <definedNames>
    <definedName name="_xlnm._FilterDatabase" localSheetId="3" hidden="1">'سناریو با وثیقه'!$A$1:$T$43</definedName>
    <definedName name="_xlnm._FilterDatabase" localSheetId="0" hidden="1">'سناریو بدون وثیقه'!$A$1:$R$41</definedName>
    <definedName name="_xlnm.Print_Area" localSheetId="1">Sheet3!$A$1:$E$22</definedName>
    <definedName name="_xlnm.Print_Area" localSheetId="0">'سناریو بدون وثیقه'!$G$1:$R$14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M23" i="1" s="1"/>
  <c r="L23" i="1" s="1"/>
  <c r="K23" i="1"/>
  <c r="N23" i="1"/>
  <c r="S23" i="1"/>
  <c r="K22" i="1"/>
  <c r="N22" i="1"/>
  <c r="S22" i="1"/>
  <c r="I22" i="1"/>
  <c r="M22" i="1" s="1"/>
  <c r="D22" i="1"/>
  <c r="Q22" i="1" l="1"/>
  <c r="L22" i="1"/>
  <c r="O22" i="1" s="1"/>
  <c r="P22" i="1" s="1"/>
  <c r="R22" i="1" s="1"/>
  <c r="O23" i="1"/>
  <c r="P23" i="1" s="1"/>
  <c r="Q2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R23" i="1" l="1"/>
  <c r="G2" i="3"/>
  <c r="G3" i="3"/>
  <c r="G4" i="3"/>
  <c r="G5" i="3"/>
  <c r="G6" i="3"/>
  <c r="G7" i="3"/>
  <c r="G8" i="3"/>
  <c r="G9" i="3"/>
  <c r="G10" i="3"/>
  <c r="G1" i="3"/>
  <c r="F1" i="3"/>
  <c r="F2" i="3"/>
  <c r="F3" i="3"/>
  <c r="F4" i="3"/>
  <c r="F5" i="3"/>
  <c r="F6" i="3"/>
  <c r="F7" i="3"/>
  <c r="F8" i="3"/>
  <c r="F9" i="3"/>
  <c r="F10" i="3"/>
  <c r="E1" i="3"/>
  <c r="E2" i="3"/>
  <c r="E3" i="3"/>
  <c r="E4" i="3"/>
  <c r="E5" i="3"/>
  <c r="E6" i="3"/>
  <c r="E7" i="3"/>
  <c r="E8" i="3"/>
  <c r="E9" i="3"/>
  <c r="E10" i="3"/>
  <c r="D10" i="3"/>
  <c r="D2" i="3"/>
  <c r="D3" i="3"/>
  <c r="D4" i="3"/>
  <c r="D5" i="3"/>
  <c r="D6" i="3"/>
  <c r="D7" i="3"/>
  <c r="D8" i="3"/>
  <c r="D9" i="3"/>
  <c r="D1" i="3"/>
  <c r="S8" i="2" l="1"/>
  <c r="S9" i="2"/>
  <c r="S10" i="2"/>
  <c r="S11" i="2"/>
  <c r="K7" i="2"/>
  <c r="D3" i="2" l="1"/>
  <c r="D10" i="2"/>
  <c r="P43" i="2" l="1"/>
  <c r="K43" i="2"/>
  <c r="I43" i="2"/>
  <c r="S43" i="2" s="1"/>
  <c r="D43" i="2"/>
  <c r="P42" i="2"/>
  <c r="O42" i="2"/>
  <c r="K42" i="2"/>
  <c r="I42" i="2"/>
  <c r="D42" i="2"/>
  <c r="P41" i="2"/>
  <c r="K41" i="2"/>
  <c r="I41" i="2"/>
  <c r="M41" i="2" s="1"/>
  <c r="D41" i="2"/>
  <c r="P40" i="2"/>
  <c r="M40" i="2"/>
  <c r="K40" i="2"/>
  <c r="I40" i="2"/>
  <c r="S40" i="2" s="1"/>
  <c r="D40" i="2"/>
  <c r="P39" i="2"/>
  <c r="K39" i="2"/>
  <c r="I39" i="2"/>
  <c r="S39" i="2" s="1"/>
  <c r="D39" i="2"/>
  <c r="P38" i="2"/>
  <c r="K38" i="2"/>
  <c r="I38" i="2"/>
  <c r="O38" i="2" s="1"/>
  <c r="D38" i="2"/>
  <c r="P37" i="2"/>
  <c r="K37" i="2"/>
  <c r="I37" i="2"/>
  <c r="M37" i="2" s="1"/>
  <c r="D37" i="2"/>
  <c r="P36" i="2"/>
  <c r="K36" i="2"/>
  <c r="I36" i="2"/>
  <c r="S36" i="2" s="1"/>
  <c r="D36" i="2"/>
  <c r="P35" i="2"/>
  <c r="M35" i="2"/>
  <c r="K35" i="2"/>
  <c r="I35" i="2"/>
  <c r="S35" i="2" s="1"/>
  <c r="D35" i="2"/>
  <c r="P34" i="2"/>
  <c r="K34" i="2"/>
  <c r="I34" i="2"/>
  <c r="O34" i="2" s="1"/>
  <c r="D34" i="2"/>
  <c r="P33" i="2"/>
  <c r="O33" i="2"/>
  <c r="K33" i="2"/>
  <c r="I33" i="2"/>
  <c r="M33" i="2" s="1"/>
  <c r="D33" i="2"/>
  <c r="P32" i="2"/>
  <c r="K32" i="2"/>
  <c r="I32" i="2"/>
  <c r="S32" i="2" s="1"/>
  <c r="D32" i="2"/>
  <c r="P31" i="2"/>
  <c r="K31" i="2"/>
  <c r="I31" i="2"/>
  <c r="S31" i="2" s="1"/>
  <c r="D31" i="2"/>
  <c r="P30" i="2"/>
  <c r="K30" i="2"/>
  <c r="I30" i="2"/>
  <c r="D30" i="2"/>
  <c r="P29" i="2"/>
  <c r="K29" i="2"/>
  <c r="I29" i="2"/>
  <c r="M29" i="2" s="1"/>
  <c r="D29" i="2"/>
  <c r="P28" i="2"/>
  <c r="M28" i="2"/>
  <c r="K28" i="2"/>
  <c r="I28" i="2"/>
  <c r="S28" i="2" s="1"/>
  <c r="D28" i="2"/>
  <c r="P27" i="2"/>
  <c r="K27" i="2"/>
  <c r="I27" i="2"/>
  <c r="S27" i="2" s="1"/>
  <c r="D27" i="2"/>
  <c r="P26" i="2"/>
  <c r="K26" i="2"/>
  <c r="I26" i="2"/>
  <c r="O26" i="2" s="1"/>
  <c r="D26" i="2"/>
  <c r="P25" i="2"/>
  <c r="O25" i="2"/>
  <c r="K25" i="2"/>
  <c r="I25" i="2"/>
  <c r="M25" i="2" s="1"/>
  <c r="D25" i="2"/>
  <c r="P24" i="2"/>
  <c r="K24" i="2"/>
  <c r="I24" i="2"/>
  <c r="S24" i="2" s="1"/>
  <c r="D24" i="2"/>
  <c r="P23" i="2"/>
  <c r="K23" i="2"/>
  <c r="I23" i="2"/>
  <c r="S23" i="2" s="1"/>
  <c r="D23" i="2"/>
  <c r="N41" i="1"/>
  <c r="K41" i="1"/>
  <c r="I41" i="1"/>
  <c r="Q41" i="1" s="1"/>
  <c r="D41" i="1"/>
  <c r="N40" i="1"/>
  <c r="K40" i="1"/>
  <c r="I40" i="1"/>
  <c r="M40" i="1" s="1"/>
  <c r="D40" i="1"/>
  <c r="N39" i="1"/>
  <c r="K39" i="1"/>
  <c r="I39" i="1"/>
  <c r="Q39" i="1" s="1"/>
  <c r="D39" i="1"/>
  <c r="N38" i="1"/>
  <c r="K38" i="1"/>
  <c r="I38" i="1"/>
  <c r="Q38" i="1" s="1"/>
  <c r="D38" i="1"/>
  <c r="N37" i="1"/>
  <c r="K37" i="1"/>
  <c r="I37" i="1"/>
  <c r="Q37" i="1" s="1"/>
  <c r="D37" i="1"/>
  <c r="N36" i="1"/>
  <c r="K36" i="1"/>
  <c r="I36" i="1"/>
  <c r="M36" i="1" s="1"/>
  <c r="D36" i="1"/>
  <c r="N35" i="1"/>
  <c r="K35" i="1"/>
  <c r="I35" i="1"/>
  <c r="Q35" i="1" s="1"/>
  <c r="D35" i="1"/>
  <c r="N34" i="1"/>
  <c r="K34" i="1"/>
  <c r="I34" i="1"/>
  <c r="Q34" i="1" s="1"/>
  <c r="D34" i="1"/>
  <c r="N33" i="1"/>
  <c r="K33" i="1"/>
  <c r="I33" i="1"/>
  <c r="Q33" i="1" s="1"/>
  <c r="D33" i="1"/>
  <c r="N32" i="1"/>
  <c r="K32" i="1"/>
  <c r="I32" i="1"/>
  <c r="M32" i="1" s="1"/>
  <c r="D32" i="1"/>
  <c r="N31" i="1"/>
  <c r="K31" i="1"/>
  <c r="I31" i="1"/>
  <c r="Q31" i="1" s="1"/>
  <c r="D31" i="1"/>
  <c r="N30" i="1"/>
  <c r="K30" i="1"/>
  <c r="I30" i="1"/>
  <c r="Q30" i="1" s="1"/>
  <c r="D30" i="1"/>
  <c r="N29" i="1"/>
  <c r="K29" i="1"/>
  <c r="I29" i="1"/>
  <c r="Q29" i="1" s="1"/>
  <c r="D29" i="1"/>
  <c r="N28" i="1"/>
  <c r="K28" i="1"/>
  <c r="I28" i="1"/>
  <c r="M28" i="1" s="1"/>
  <c r="D28" i="1"/>
  <c r="N27" i="1"/>
  <c r="K27" i="1"/>
  <c r="I27" i="1"/>
  <c r="Q27" i="1" s="1"/>
  <c r="D27" i="1"/>
  <c r="N26" i="1"/>
  <c r="K26" i="1"/>
  <c r="I26" i="1"/>
  <c r="Q26" i="1" s="1"/>
  <c r="D26" i="1"/>
  <c r="N25" i="1"/>
  <c r="K25" i="1"/>
  <c r="I25" i="1"/>
  <c r="Q25" i="1" s="1"/>
  <c r="D25" i="1"/>
  <c r="N24" i="1"/>
  <c r="K24" i="1"/>
  <c r="I24" i="1"/>
  <c r="M24" i="1" s="1"/>
  <c r="D24" i="1"/>
  <c r="N21" i="1"/>
  <c r="K21" i="1"/>
  <c r="I21" i="1"/>
  <c r="Q21" i="1" s="1"/>
  <c r="N20" i="1"/>
  <c r="K20" i="1"/>
  <c r="I20" i="1"/>
  <c r="Q20" i="1" s="1"/>
  <c r="N19" i="1"/>
  <c r="K19" i="1"/>
  <c r="I19" i="1"/>
  <c r="Q19" i="1" s="1"/>
  <c r="M38" i="1" l="1"/>
  <c r="L38" i="1" s="1"/>
  <c r="O38" i="1" s="1"/>
  <c r="P38" i="1" s="1"/>
  <c r="R38" i="1" s="1"/>
  <c r="N33" i="2"/>
  <c r="Q33" i="2" s="1"/>
  <c r="R33" i="2" s="1"/>
  <c r="N25" i="2"/>
  <c r="M23" i="2"/>
  <c r="O29" i="2"/>
  <c r="M36" i="2"/>
  <c r="M24" i="2"/>
  <c r="S25" i="2"/>
  <c r="N29" i="2"/>
  <c r="Q29" i="2" s="1"/>
  <c r="R29" i="2" s="1"/>
  <c r="M31" i="2"/>
  <c r="M43" i="2"/>
  <c r="M27" i="2"/>
  <c r="M32" i="2"/>
  <c r="S33" i="2"/>
  <c r="T33" i="2" s="1"/>
  <c r="M39" i="2"/>
  <c r="M20" i="1"/>
  <c r="L20" i="1" s="1"/>
  <c r="O20" i="1" s="1"/>
  <c r="P20" i="1" s="1"/>
  <c r="R20" i="1" s="1"/>
  <c r="M34" i="1"/>
  <c r="L34" i="1" s="1"/>
  <c r="O34" i="1" s="1"/>
  <c r="P34" i="1" s="1"/>
  <c r="R34" i="1" s="1"/>
  <c r="M26" i="1"/>
  <c r="L26" i="1" s="1"/>
  <c r="O26" i="1" s="1"/>
  <c r="P26" i="1" s="1"/>
  <c r="R26" i="1" s="1"/>
  <c r="M30" i="1"/>
  <c r="L30" i="1" s="1"/>
  <c r="O30" i="1" s="1"/>
  <c r="P30" i="1" s="1"/>
  <c r="R30" i="1" s="1"/>
  <c r="L24" i="1"/>
  <c r="O24" i="1" s="1"/>
  <c r="P24" i="1" s="1"/>
  <c r="L28" i="1"/>
  <c r="O28" i="1" s="1"/>
  <c r="P28" i="1" s="1"/>
  <c r="L32" i="1"/>
  <c r="O32" i="1" s="1"/>
  <c r="P32" i="1" s="1"/>
  <c r="L36" i="1"/>
  <c r="O36" i="1" s="1"/>
  <c r="P36" i="1" s="1"/>
  <c r="L40" i="1"/>
  <c r="Q24" i="1"/>
  <c r="Q28" i="1"/>
  <c r="Q32" i="1"/>
  <c r="Q36" i="1"/>
  <c r="Q40" i="1"/>
  <c r="Q25" i="2"/>
  <c r="R25" i="2" s="1"/>
  <c r="M30" i="2"/>
  <c r="S30" i="2"/>
  <c r="N38" i="2"/>
  <c r="Q38" i="2" s="1"/>
  <c r="R38" i="2" s="1"/>
  <c r="N42" i="2"/>
  <c r="Q42" i="2" s="1"/>
  <c r="N26" i="2"/>
  <c r="Q26" i="2" s="1"/>
  <c r="R26" i="2" s="1"/>
  <c r="N34" i="2"/>
  <c r="Q34" i="2" s="1"/>
  <c r="R34" i="2" s="1"/>
  <c r="M38" i="2"/>
  <c r="S38" i="2"/>
  <c r="R42" i="2"/>
  <c r="M42" i="2"/>
  <c r="S42" i="2"/>
  <c r="M26" i="2"/>
  <c r="S26" i="2"/>
  <c r="S29" i="2"/>
  <c r="O30" i="2"/>
  <c r="N30" i="2" s="1"/>
  <c r="Q30" i="2" s="1"/>
  <c r="R30" i="2" s="1"/>
  <c r="M34" i="2"/>
  <c r="S34" i="2"/>
  <c r="O37" i="2"/>
  <c r="N37" i="2" s="1"/>
  <c r="Q37" i="2" s="1"/>
  <c r="R37" i="2" s="1"/>
  <c r="S37" i="2"/>
  <c r="O41" i="2"/>
  <c r="N41" i="2" s="1"/>
  <c r="Q41" i="2" s="1"/>
  <c r="R41" i="2" s="1"/>
  <c r="S41" i="2"/>
  <c r="O24" i="2"/>
  <c r="N24" i="2" s="1"/>
  <c r="Q24" i="2" s="1"/>
  <c r="R24" i="2" s="1"/>
  <c r="T24" i="2" s="1"/>
  <c r="O28" i="2"/>
  <c r="N28" i="2" s="1"/>
  <c r="Q28" i="2" s="1"/>
  <c r="R28" i="2" s="1"/>
  <c r="T28" i="2" s="1"/>
  <c r="O32" i="2"/>
  <c r="N32" i="2" s="1"/>
  <c r="Q32" i="2" s="1"/>
  <c r="R32" i="2" s="1"/>
  <c r="O36" i="2"/>
  <c r="N36" i="2" s="1"/>
  <c r="Q36" i="2" s="1"/>
  <c r="R36" i="2" s="1"/>
  <c r="T36" i="2" s="1"/>
  <c r="O40" i="2"/>
  <c r="N40" i="2" s="1"/>
  <c r="Q40" i="2" s="1"/>
  <c r="R40" i="2" s="1"/>
  <c r="T40" i="2" s="1"/>
  <c r="O23" i="2"/>
  <c r="N23" i="2" s="1"/>
  <c r="Q23" i="2" s="1"/>
  <c r="R23" i="2" s="1"/>
  <c r="T23" i="2" s="1"/>
  <c r="O27" i="2"/>
  <c r="N27" i="2" s="1"/>
  <c r="Q27" i="2" s="1"/>
  <c r="R27" i="2" s="1"/>
  <c r="O31" i="2"/>
  <c r="N31" i="2" s="1"/>
  <c r="Q31" i="2" s="1"/>
  <c r="R31" i="2" s="1"/>
  <c r="T31" i="2" s="1"/>
  <c r="O35" i="2"/>
  <c r="N35" i="2" s="1"/>
  <c r="Q35" i="2" s="1"/>
  <c r="R35" i="2" s="1"/>
  <c r="T35" i="2" s="1"/>
  <c r="O39" i="2"/>
  <c r="N39" i="2" s="1"/>
  <c r="Q39" i="2" s="1"/>
  <c r="R39" i="2" s="1"/>
  <c r="T39" i="2" s="1"/>
  <c r="O43" i="2"/>
  <c r="N43" i="2" s="1"/>
  <c r="Q43" i="2" s="1"/>
  <c r="R43" i="2" s="1"/>
  <c r="T43" i="2" s="1"/>
  <c r="O40" i="1"/>
  <c r="P40" i="1" s="1"/>
  <c r="M19" i="1"/>
  <c r="L19" i="1" s="1"/>
  <c r="O19" i="1" s="1"/>
  <c r="P19" i="1" s="1"/>
  <c r="R19" i="1" s="1"/>
  <c r="M21" i="1"/>
  <c r="L21" i="1" s="1"/>
  <c r="O21" i="1" s="1"/>
  <c r="P21" i="1" s="1"/>
  <c r="R21" i="1" s="1"/>
  <c r="M25" i="1"/>
  <c r="L25" i="1" s="1"/>
  <c r="O25" i="1" s="1"/>
  <c r="P25" i="1" s="1"/>
  <c r="R25" i="1" s="1"/>
  <c r="M27" i="1"/>
  <c r="L27" i="1" s="1"/>
  <c r="O27" i="1" s="1"/>
  <c r="P27" i="1" s="1"/>
  <c r="R27" i="1" s="1"/>
  <c r="M29" i="1"/>
  <c r="L29" i="1" s="1"/>
  <c r="O29" i="1" s="1"/>
  <c r="P29" i="1" s="1"/>
  <c r="R29" i="1" s="1"/>
  <c r="M31" i="1"/>
  <c r="L31" i="1" s="1"/>
  <c r="O31" i="1" s="1"/>
  <c r="P31" i="1" s="1"/>
  <c r="R31" i="1" s="1"/>
  <c r="M33" i="1"/>
  <c r="L33" i="1" s="1"/>
  <c r="O33" i="1" s="1"/>
  <c r="P33" i="1" s="1"/>
  <c r="R33" i="1" s="1"/>
  <c r="M35" i="1"/>
  <c r="L35" i="1" s="1"/>
  <c r="O35" i="1" s="1"/>
  <c r="P35" i="1" s="1"/>
  <c r="R35" i="1" s="1"/>
  <c r="M37" i="1"/>
  <c r="L37" i="1" s="1"/>
  <c r="O37" i="1" s="1"/>
  <c r="P37" i="1" s="1"/>
  <c r="R37" i="1" s="1"/>
  <c r="M39" i="1"/>
  <c r="L39" i="1" s="1"/>
  <c r="O39" i="1" s="1"/>
  <c r="P39" i="1" s="1"/>
  <c r="R39" i="1" s="1"/>
  <c r="M41" i="1"/>
  <c r="L41" i="1" s="1"/>
  <c r="O41" i="1" s="1"/>
  <c r="P41" i="1" s="1"/>
  <c r="R41" i="1" s="1"/>
  <c r="I16" i="1"/>
  <c r="M16" i="1" s="1"/>
  <c r="I18" i="2"/>
  <c r="M18" i="2" s="1"/>
  <c r="I19" i="2"/>
  <c r="M19" i="2" s="1"/>
  <c r="I11" i="1"/>
  <c r="K11" i="1"/>
  <c r="N11" i="1"/>
  <c r="I12" i="1"/>
  <c r="M12" i="1" s="1"/>
  <c r="K12" i="1"/>
  <c r="N12" i="1"/>
  <c r="I13" i="1"/>
  <c r="K13" i="1"/>
  <c r="N13" i="1"/>
  <c r="D18" i="2"/>
  <c r="K18" i="2"/>
  <c r="P18" i="2"/>
  <c r="D19" i="2"/>
  <c r="K19" i="2"/>
  <c r="P19" i="2"/>
  <c r="D20" i="2"/>
  <c r="I20" i="2"/>
  <c r="K20" i="2"/>
  <c r="P20" i="2"/>
  <c r="D11" i="2"/>
  <c r="I11" i="2"/>
  <c r="M11" i="2" s="1"/>
  <c r="K11" i="2"/>
  <c r="P11" i="2"/>
  <c r="D12" i="2"/>
  <c r="I12" i="2"/>
  <c r="S12" i="2" s="1"/>
  <c r="K12" i="2"/>
  <c r="P12" i="2"/>
  <c r="D13" i="2"/>
  <c r="I13" i="2"/>
  <c r="M13" i="2" s="1"/>
  <c r="K13" i="2"/>
  <c r="P13" i="2"/>
  <c r="D4" i="2"/>
  <c r="I4" i="2"/>
  <c r="M4" i="2" s="1"/>
  <c r="K4" i="2"/>
  <c r="P4" i="2"/>
  <c r="S4" i="2"/>
  <c r="D5" i="2"/>
  <c r="I5" i="2"/>
  <c r="S5" i="2" s="1"/>
  <c r="K5" i="2"/>
  <c r="P5" i="2"/>
  <c r="D6" i="2"/>
  <c r="I6" i="2"/>
  <c r="M6" i="2" s="1"/>
  <c r="K6" i="2"/>
  <c r="P6" i="2"/>
  <c r="I15" i="1"/>
  <c r="M15" i="1" s="1"/>
  <c r="K15" i="1"/>
  <c r="N15" i="1"/>
  <c r="K16" i="1"/>
  <c r="N16" i="1"/>
  <c r="T41" i="2" l="1"/>
  <c r="T25" i="2"/>
  <c r="T27" i="2"/>
  <c r="T32" i="2"/>
  <c r="S13" i="2"/>
  <c r="R32" i="1"/>
  <c r="R28" i="1"/>
  <c r="L12" i="1"/>
  <c r="O12" i="1" s="1"/>
  <c r="P12" i="1" s="1"/>
  <c r="R36" i="1"/>
  <c r="R40" i="1"/>
  <c r="L15" i="1"/>
  <c r="O15" i="1" s="1"/>
  <c r="P15" i="1" s="1"/>
  <c r="L16" i="1"/>
  <c r="O16" i="1" s="1"/>
  <c r="P16" i="1" s="1"/>
  <c r="R24" i="1"/>
  <c r="T34" i="2"/>
  <c r="T37" i="2"/>
  <c r="T42" i="2"/>
  <c r="T38" i="2"/>
  <c r="T30" i="2"/>
  <c r="T29" i="2"/>
  <c r="T26" i="2"/>
  <c r="O13" i="2"/>
  <c r="N13" i="2" s="1"/>
  <c r="Q13" i="2" s="1"/>
  <c r="R13" i="2" s="1"/>
  <c r="T13" i="2" s="1"/>
  <c r="S19" i="2"/>
  <c r="O19" i="2"/>
  <c r="N19" i="2" s="1"/>
  <c r="Q19" i="2" s="1"/>
  <c r="R19" i="2" s="1"/>
  <c r="S18" i="2"/>
  <c r="O12" i="2"/>
  <c r="N12" i="2" s="1"/>
  <c r="M12" i="2"/>
  <c r="S6" i="2"/>
  <c r="O4" i="2"/>
  <c r="N4" i="2" s="1"/>
  <c r="Q4" i="2" s="1"/>
  <c r="R4" i="2" s="1"/>
  <c r="T4" i="2" s="1"/>
  <c r="O5" i="2"/>
  <c r="N5" i="2" s="1"/>
  <c r="Q5" i="2" s="1"/>
  <c r="R5" i="2" s="1"/>
  <c r="M5" i="2"/>
  <c r="O6" i="2"/>
  <c r="N6" i="2" s="1"/>
  <c r="Q6" i="2" s="1"/>
  <c r="R6" i="2" s="1"/>
  <c r="O11" i="2"/>
  <c r="N11" i="2" s="1"/>
  <c r="Q11" i="2" s="1"/>
  <c r="R11" i="2" s="1"/>
  <c r="M20" i="2"/>
  <c r="O18" i="2"/>
  <c r="N18" i="2" s="1"/>
  <c r="Q18" i="2" s="1"/>
  <c r="R18" i="2" s="1"/>
  <c r="S20" i="2"/>
  <c r="O20" i="2"/>
  <c r="N20" i="2" s="1"/>
  <c r="Q20" i="2" s="1"/>
  <c r="R20" i="2" s="1"/>
  <c r="Q12" i="2"/>
  <c r="R12" i="2" s="1"/>
  <c r="Q13" i="1"/>
  <c r="M13" i="1"/>
  <c r="L13" i="1" s="1"/>
  <c r="O13" i="1" s="1"/>
  <c r="P13" i="1" s="1"/>
  <c r="Q11" i="1"/>
  <c r="M11" i="1"/>
  <c r="L11" i="1" s="1"/>
  <c r="O11" i="1" s="1"/>
  <c r="P11" i="1" s="1"/>
  <c r="Q12" i="1"/>
  <c r="Q16" i="1"/>
  <c r="Q15" i="1"/>
  <c r="I4" i="1"/>
  <c r="K4" i="1"/>
  <c r="N4" i="1"/>
  <c r="I5" i="1"/>
  <c r="M5" i="1" s="1"/>
  <c r="K5" i="1"/>
  <c r="N5" i="1"/>
  <c r="I6" i="1"/>
  <c r="K6" i="1"/>
  <c r="N6" i="1"/>
  <c r="T11" i="2" l="1"/>
  <c r="R12" i="1"/>
  <c r="R16" i="1"/>
  <c r="L5" i="1"/>
  <c r="O5" i="1" s="1"/>
  <c r="P5" i="1" s="1"/>
  <c r="R15" i="1"/>
  <c r="T19" i="2"/>
  <c r="T12" i="2"/>
  <c r="T5" i="2"/>
  <c r="T18" i="2"/>
  <c r="T6" i="2"/>
  <c r="T20" i="2"/>
  <c r="R13" i="1"/>
  <c r="R11" i="1"/>
  <c r="Q6" i="1"/>
  <c r="M6" i="1"/>
  <c r="L6" i="1" s="1"/>
  <c r="O6" i="1" s="1"/>
  <c r="P6" i="1" s="1"/>
  <c r="Q4" i="1"/>
  <c r="M4" i="1"/>
  <c r="L4" i="1" s="1"/>
  <c r="O4" i="1" s="1"/>
  <c r="P4" i="1" s="1"/>
  <c r="Q5" i="1"/>
  <c r="M22" i="2"/>
  <c r="M2" i="2"/>
  <c r="D2" i="2"/>
  <c r="P22" i="2"/>
  <c r="O22" i="2"/>
  <c r="K22" i="2"/>
  <c r="I22" i="2"/>
  <c r="S22" i="2" s="1"/>
  <c r="D22" i="2"/>
  <c r="P21" i="2"/>
  <c r="K21" i="2"/>
  <c r="I21" i="2"/>
  <c r="M21" i="2" s="1"/>
  <c r="D21" i="2"/>
  <c r="P17" i="2"/>
  <c r="O17" i="2"/>
  <c r="K17" i="2"/>
  <c r="I17" i="2"/>
  <c r="S17" i="2" s="1"/>
  <c r="D17" i="2"/>
  <c r="P16" i="2"/>
  <c r="K16" i="2"/>
  <c r="I16" i="2"/>
  <c r="O16" i="2" s="1"/>
  <c r="D16" i="2"/>
  <c r="P15" i="2"/>
  <c r="K15" i="2"/>
  <c r="I15" i="2"/>
  <c r="S15" i="2" s="1"/>
  <c r="D15" i="2"/>
  <c r="P14" i="2"/>
  <c r="K14" i="2"/>
  <c r="I14" i="2"/>
  <c r="M14" i="2" s="1"/>
  <c r="D14" i="2"/>
  <c r="P10" i="2"/>
  <c r="K10" i="2"/>
  <c r="I10" i="2"/>
  <c r="P9" i="2"/>
  <c r="K9" i="2"/>
  <c r="I9" i="2"/>
  <c r="O9" i="2" s="1"/>
  <c r="D9" i="2"/>
  <c r="P8" i="2"/>
  <c r="K8" i="2"/>
  <c r="I8" i="2"/>
  <c r="M8" i="2" s="1"/>
  <c r="D8" i="2"/>
  <c r="P7" i="2"/>
  <c r="I7" i="2"/>
  <c r="D7" i="2"/>
  <c r="P3" i="2"/>
  <c r="K3" i="2"/>
  <c r="I3" i="2"/>
  <c r="P2" i="2"/>
  <c r="K2" i="2"/>
  <c r="I2" i="2"/>
  <c r="S2" i="2" s="1"/>
  <c r="I17" i="1"/>
  <c r="K17" i="1"/>
  <c r="N17" i="1"/>
  <c r="I18" i="1"/>
  <c r="M18" i="1" s="1"/>
  <c r="K18" i="1"/>
  <c r="N18" i="1"/>
  <c r="M7" i="2" l="1"/>
  <c r="O7" i="2"/>
  <c r="N7" i="2" s="1"/>
  <c r="Q7" i="2" s="1"/>
  <c r="R7" i="2" s="1"/>
  <c r="N9" i="2"/>
  <c r="Q9" i="2" s="1"/>
  <c r="R9" i="2" s="1"/>
  <c r="S7" i="2"/>
  <c r="O8" i="2"/>
  <c r="N8" i="2" s="1"/>
  <c r="O2" i="2"/>
  <c r="O15" i="2"/>
  <c r="N15" i="2" s="1"/>
  <c r="Q15" i="2" s="1"/>
  <c r="R15" i="2" s="1"/>
  <c r="T15" i="2" s="1"/>
  <c r="M15" i="2"/>
  <c r="M10" i="2"/>
  <c r="O3" i="2"/>
  <c r="N3" i="2" s="1"/>
  <c r="Q3" i="2" s="1"/>
  <c r="R3" i="2" s="1"/>
  <c r="M3" i="2"/>
  <c r="S3" i="2" s="1"/>
  <c r="O10" i="2"/>
  <c r="N10" i="2" s="1"/>
  <c r="Q10" i="2" s="1"/>
  <c r="R10" i="2" s="1"/>
  <c r="T10" i="2" s="1"/>
  <c r="N16" i="2"/>
  <c r="Q16" i="2" s="1"/>
  <c r="R16" i="2" s="1"/>
  <c r="M17" i="2"/>
  <c r="N2" i="2"/>
  <c r="Q2" i="2" s="1"/>
  <c r="R2" i="2" s="1"/>
  <c r="T2" i="2" s="1"/>
  <c r="S14" i="2"/>
  <c r="S16" i="2"/>
  <c r="S21" i="2"/>
  <c r="M16" i="2"/>
  <c r="M9" i="2"/>
  <c r="O14" i="2"/>
  <c r="N14" i="2" s="1"/>
  <c r="Q14" i="2" s="1"/>
  <c r="R14" i="2" s="1"/>
  <c r="T14" i="2" s="1"/>
  <c r="O21" i="2"/>
  <c r="N21" i="2" s="1"/>
  <c r="Q21" i="2" s="1"/>
  <c r="R21" i="2" s="1"/>
  <c r="T21" i="2" s="1"/>
  <c r="L18" i="1"/>
  <c r="O18" i="1" s="1"/>
  <c r="P18" i="1" s="1"/>
  <c r="R5" i="1"/>
  <c r="R6" i="1"/>
  <c r="R4" i="1"/>
  <c r="N17" i="2"/>
  <c r="Q17" i="2" s="1"/>
  <c r="R17" i="2" s="1"/>
  <c r="T17" i="2" s="1"/>
  <c r="N22" i="2"/>
  <c r="Q22" i="2" s="1"/>
  <c r="R22" i="2" s="1"/>
  <c r="T22" i="2" s="1"/>
  <c r="Q17" i="1"/>
  <c r="M17" i="1"/>
  <c r="L17" i="1" s="1"/>
  <c r="O17" i="1" s="1"/>
  <c r="P17" i="1" s="1"/>
  <c r="Q18" i="1"/>
  <c r="R8" i="2" l="1"/>
  <c r="T8" i="2" s="1"/>
  <c r="Q8" i="2"/>
  <c r="T7" i="2"/>
  <c r="T9" i="2"/>
  <c r="T3" i="2"/>
  <c r="T16" i="2"/>
  <c r="R18" i="1"/>
  <c r="R17" i="1"/>
  <c r="I14" i="1"/>
  <c r="M14" i="1" s="1"/>
  <c r="K14" i="1"/>
  <c r="N14" i="1"/>
  <c r="I9" i="1"/>
  <c r="M9" i="1" s="1"/>
  <c r="K9" i="1"/>
  <c r="N9" i="1"/>
  <c r="I10" i="1"/>
  <c r="M10" i="1" s="1"/>
  <c r="K10" i="1"/>
  <c r="N10" i="1"/>
  <c r="K3" i="1"/>
  <c r="K7" i="1"/>
  <c r="K8" i="1"/>
  <c r="K2" i="1"/>
  <c r="N3" i="1"/>
  <c r="N7" i="1"/>
  <c r="N8" i="1"/>
  <c r="N2" i="1"/>
  <c r="I3" i="1"/>
  <c r="M3" i="1" s="1"/>
  <c r="I7" i="1"/>
  <c r="M7" i="1" s="1"/>
  <c r="I8" i="1"/>
  <c r="Q8" i="1" s="1"/>
  <c r="I2" i="1"/>
  <c r="M2" i="1" s="1"/>
  <c r="Q10" i="1" l="1"/>
  <c r="Q7" i="1"/>
  <c r="M8" i="1"/>
  <c r="Q14" i="1"/>
  <c r="Q3" i="1"/>
  <c r="Q2" i="1"/>
  <c r="L8" i="1"/>
  <c r="O8" i="1" s="1"/>
  <c r="P8" i="1" s="1"/>
  <c r="R8" i="1" s="1"/>
  <c r="Q9" i="1"/>
  <c r="L3" i="1"/>
  <c r="O3" i="1" s="1"/>
  <c r="P3" i="1" s="1"/>
  <c r="L10" i="1"/>
  <c r="O10" i="1" s="1"/>
  <c r="P10" i="1" s="1"/>
  <c r="L9" i="1"/>
  <c r="L14" i="1"/>
  <c r="O14" i="1" s="1"/>
  <c r="P14" i="1" s="1"/>
  <c r="L7" i="1"/>
  <c r="O7" i="1" s="1"/>
  <c r="P7" i="1" s="1"/>
  <c r="L2" i="1"/>
  <c r="O2" i="1" s="1"/>
  <c r="P2" i="1" s="1"/>
  <c r="R2" i="1" l="1"/>
  <c r="R14" i="1"/>
  <c r="R7" i="1"/>
  <c r="R3" i="1"/>
  <c r="R10" i="1"/>
  <c r="O9" i="1"/>
  <c r="P9" i="1" s="1"/>
  <c r="R9" i="1" s="1"/>
</calcChain>
</file>

<file path=xl/sharedStrings.xml><?xml version="1.0" encoding="utf-8"?>
<sst xmlns="http://schemas.openxmlformats.org/spreadsheetml/2006/main" count="134" uniqueCount="75">
  <si>
    <t>نرخ سود</t>
  </si>
  <si>
    <t>ماندگاری</t>
  </si>
  <si>
    <t>سپرده قانونی</t>
  </si>
  <si>
    <t>سود دوره</t>
  </si>
  <si>
    <t>مبلغ</t>
  </si>
  <si>
    <t>نرخ سود سپرده</t>
  </si>
  <si>
    <t>نرخ تسهیلات</t>
  </si>
  <si>
    <t>میزان تسهیلات</t>
  </si>
  <si>
    <t>بازپرداخت</t>
  </si>
  <si>
    <t>ضریب تسهیلات</t>
  </si>
  <si>
    <t>منابع آزاد</t>
  </si>
  <si>
    <t>مبلغ سود سپرده</t>
  </si>
  <si>
    <t>سود پرداختی به مشتری</t>
  </si>
  <si>
    <t>خالص سود</t>
  </si>
  <si>
    <t>خالص تسهیلات پرداختی</t>
  </si>
  <si>
    <t>آبونمان و کارمزد</t>
  </si>
  <si>
    <t>نرخ موثر تسهیلات</t>
  </si>
  <si>
    <t>وثیقه نقد</t>
  </si>
  <si>
    <t>مبلغ سود وثیقه</t>
  </si>
  <si>
    <t>4 ماه</t>
  </si>
  <si>
    <t>7 ماه</t>
  </si>
  <si>
    <t>4 درصد</t>
  </si>
  <si>
    <t>5 ماه</t>
  </si>
  <si>
    <t>10 ماه</t>
  </si>
  <si>
    <t>5 درصد</t>
  </si>
  <si>
    <t>6 ماه</t>
  </si>
  <si>
    <t>12 ماه</t>
  </si>
  <si>
    <t>6 درصد</t>
  </si>
  <si>
    <t>14 ماه</t>
  </si>
  <si>
    <t>7 درصد</t>
  </si>
  <si>
    <t>8 ماه</t>
  </si>
  <si>
    <t>16 ماه</t>
  </si>
  <si>
    <t>8 درصد</t>
  </si>
  <si>
    <t>20 ماه</t>
  </si>
  <si>
    <t>9 درصد</t>
  </si>
  <si>
    <t>9 ماه</t>
  </si>
  <si>
    <t>24 ماه</t>
  </si>
  <si>
    <t>10 درصد</t>
  </si>
  <si>
    <t>28 ماه</t>
  </si>
  <si>
    <t>11 درصد</t>
  </si>
  <si>
    <t>32 ماه</t>
  </si>
  <si>
    <t>12 درصد</t>
  </si>
  <si>
    <t>10ماه</t>
  </si>
  <si>
    <t>36ماه</t>
  </si>
  <si>
    <t>14درصد</t>
  </si>
  <si>
    <t>نوع سپرده</t>
  </si>
  <si>
    <t>حداقل مدت</t>
  </si>
  <si>
    <t>سپرده‌گذاری</t>
  </si>
  <si>
    <t>نحوه اعطا تسهیلات</t>
  </si>
  <si>
    <t>مدت</t>
  </si>
  <si>
    <t>درصد وثیقه نقد الزامی</t>
  </si>
  <si>
    <t>(حساب کوتاه‌مدت عادی)</t>
  </si>
  <si>
    <t>یک‌ماهه</t>
  </si>
  <si>
    <t>یک برابر معدل حساب</t>
  </si>
  <si>
    <t>ندارد</t>
  </si>
  <si>
    <t>2 برابر معدل حساب</t>
  </si>
  <si>
    <t>سه ماهه</t>
  </si>
  <si>
    <t>چهارماهه</t>
  </si>
  <si>
    <t>0.7 برابر معدل حساب</t>
  </si>
  <si>
    <t>شش‌ماهه</t>
  </si>
  <si>
    <t>0.5 برابر معدل حساب</t>
  </si>
  <si>
    <t>هشت‌ماهه</t>
  </si>
  <si>
    <t>دو برابر معدل حساب</t>
  </si>
  <si>
    <t>دوازده‌ماهه</t>
  </si>
  <si>
    <t>36 ماه</t>
  </si>
  <si>
    <t>12ماه</t>
  </si>
  <si>
    <r>
      <t xml:space="preserve">حداکثر مبلغ تسهیلات بر اساس دوره سپرده‌گذاری </t>
    </r>
    <r>
      <rPr>
        <b/>
        <sz val="10"/>
        <color rgb="FFFF0000"/>
        <rFont val="B Nazanin"/>
        <charset val="178"/>
      </rPr>
      <t>(ضریب تسهیلات)</t>
    </r>
  </si>
  <si>
    <r>
      <t xml:space="preserve">سپرده قرض الحسنه جاری </t>
    </r>
    <r>
      <rPr>
        <b/>
        <sz val="10"/>
        <color rgb="FF000000"/>
        <rFont val="B Nazanin"/>
        <charset val="178"/>
      </rPr>
      <t>(جایگزین سپرده قرض الحسنه بدون دسته چک ویژه طرح شایان)</t>
    </r>
  </si>
  <si>
    <r>
      <t>واریز به‌حساب</t>
    </r>
    <r>
      <rPr>
        <sz val="10"/>
        <color rgb="FF000000"/>
        <rFont val="B Nazanin"/>
        <charset val="178"/>
      </rPr>
      <t xml:space="preserve"> </t>
    </r>
    <r>
      <rPr>
        <b/>
        <sz val="10"/>
        <color rgb="FF000000"/>
        <rFont val="B Nazanin"/>
        <charset val="178"/>
      </rPr>
      <t>فروشنده ‏‏‏‏‏/صدور چک‌بانکی به نام متقاضی</t>
    </r>
  </si>
  <si>
    <r>
      <t xml:space="preserve">کوتاه‌مدت عادی </t>
    </r>
    <r>
      <rPr>
        <b/>
        <sz val="10"/>
        <color rgb="FF000000"/>
        <rFont val="B Nazanin"/>
        <charset val="178"/>
      </rPr>
      <t>(جایگزین سپرده کوتاه مدت ویژه طرح شایان)</t>
    </r>
  </si>
  <si>
    <t>جاری بدون دسته چک ویژه طرح شایان</t>
  </si>
  <si>
    <t>کوتاه مدت عادی 8% ویژه طرح شایان</t>
  </si>
  <si>
    <t>نسبت تسهیلات به معدل سپرده</t>
  </si>
  <si>
    <t>حداقل دوره سپرده گذاری</t>
  </si>
  <si>
    <t>مدت بازپرداخت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</si>
</sst>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ريال&quot;\ #,##0.00_-;[Red]&quot;ريال&quot;\ #,##0.00\-"/>
    <numFmt numFmtId="43" formatCode="_-* #,##0.00_-;_-* #,##0.00\-;_-* &quot;-&quot;??_-;_-@_-"/>
    <numFmt numFmtId="164" formatCode="_-* #,##0_-;_-* #,##0\-;_-* &quot;-&quot;??_-;_-@_-"/>
  </numFmts>
  <fonts count="10" x14ac:knownFonts="1"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2"/>
      <color theme="1"/>
      <name val="B Zar"/>
      <charset val="178"/>
    </font>
    <font>
      <b/>
      <sz val="10"/>
      <color rgb="FF000000"/>
      <name val="B Nazanin"/>
      <charset val="178"/>
    </font>
    <font>
      <b/>
      <sz val="10"/>
      <color rgb="FFFF0000"/>
      <name val="B Nazanin"/>
      <charset val="178"/>
    </font>
    <font>
      <b/>
      <sz val="10"/>
      <color rgb="FFC00000"/>
      <name val="B Nazanin"/>
      <charset val="178"/>
    </font>
    <font>
      <sz val="10"/>
      <color rgb="FF000000"/>
      <name val="B Nazanin"/>
      <charset val="178"/>
    </font>
    <font>
      <b/>
      <sz val="16"/>
      <color theme="1"/>
      <name val="B Nazanin"/>
      <charset val="178"/>
    </font>
    <font>
      <sz val="16"/>
      <color theme="1"/>
      <name val="B Nazanin"/>
      <charset val="17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rgb="FFA8D08D"/>
      </left>
      <right style="medium">
        <color rgb="FFA8D08D"/>
      </right>
      <top style="medium">
        <color rgb="FFA8D08D"/>
      </top>
      <bottom style="medium">
        <color rgb="FFA8D08D"/>
      </bottom>
      <diagonal/>
    </border>
    <border>
      <left style="medium">
        <color rgb="FFA8D08D"/>
      </left>
      <right/>
      <top style="medium">
        <color rgb="FFA8D08D"/>
      </top>
      <bottom style="medium">
        <color rgb="FFA8D08D"/>
      </bottom>
      <diagonal/>
    </border>
    <border>
      <left style="medium">
        <color rgb="FFA8D08D"/>
      </left>
      <right style="medium">
        <color rgb="FFA8D08D"/>
      </right>
      <top/>
      <bottom style="medium">
        <color rgb="FFA8D08D"/>
      </bottom>
      <diagonal/>
    </border>
    <border>
      <left style="medium">
        <color rgb="FFA8D08D"/>
      </left>
      <right/>
      <top/>
      <bottom style="medium">
        <color rgb="FFA8D08D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 applyAlignment="1">
      <alignment horizontal="center" vertical="center" wrapText="1"/>
    </xf>
    <xf numFmtId="9" fontId="2" fillId="0" borderId="0" xfId="2" applyFont="1"/>
    <xf numFmtId="164" fontId="2" fillId="0" borderId="0" xfId="1" applyNumberFormat="1" applyFont="1"/>
    <xf numFmtId="164" fontId="2" fillId="0" borderId="0" xfId="0" applyNumberFormat="1" applyFont="1"/>
    <xf numFmtId="43" fontId="2" fillId="0" borderId="0" xfId="0" applyNumberFormat="1" applyFont="1"/>
    <xf numFmtId="8" fontId="2" fillId="0" borderId="0" xfId="0" applyNumberFormat="1" applyFont="1"/>
    <xf numFmtId="10" fontId="2" fillId="0" borderId="0" xfId="2" applyNumberFormat="1" applyFont="1"/>
    <xf numFmtId="10" fontId="2" fillId="2" borderId="0" xfId="2" applyNumberFormat="1" applyFont="1" applyFill="1"/>
    <xf numFmtId="164" fontId="2" fillId="2" borderId="0" xfId="1" applyNumberFormat="1" applyFont="1" applyFill="1"/>
    <xf numFmtId="2" fontId="2" fillId="2" borderId="0" xfId="2" applyNumberFormat="1" applyFont="1" applyFill="1"/>
    <xf numFmtId="1" fontId="2" fillId="2" borderId="0" xfId="2" applyNumberFormat="1" applyFont="1" applyFill="1"/>
    <xf numFmtId="10" fontId="2" fillId="3" borderId="0" xfId="0" applyNumberFormat="1" applyFont="1" applyFill="1"/>
    <xf numFmtId="9" fontId="2" fillId="2" borderId="0" xfId="2" applyFont="1" applyFill="1"/>
    <xf numFmtId="164" fontId="2" fillId="2" borderId="0" xfId="0" applyNumberFormat="1" applyFont="1" applyFill="1"/>
    <xf numFmtId="43" fontId="2" fillId="2" borderId="0" xfId="0" applyNumberFormat="1" applyFont="1" applyFill="1"/>
    <xf numFmtId="8" fontId="2" fillId="2" borderId="0" xfId="0" applyNumberFormat="1" applyFont="1" applyFill="1"/>
    <xf numFmtId="10" fontId="2" fillId="2" borderId="0" xfId="0" applyNumberFormat="1" applyFont="1" applyFill="1"/>
    <xf numFmtId="0" fontId="0" fillId="2" borderId="0" xfId="0" applyFill="1"/>
    <xf numFmtId="10" fontId="2" fillId="4" borderId="0" xfId="2" applyNumberFormat="1" applyFont="1" applyFill="1"/>
    <xf numFmtId="9" fontId="2" fillId="5" borderId="0" xfId="2" applyFont="1" applyFill="1"/>
    <xf numFmtId="164" fontId="2" fillId="5" borderId="0" xfId="1" applyNumberFormat="1" applyFont="1" applyFill="1"/>
    <xf numFmtId="10" fontId="2" fillId="5" borderId="0" xfId="2" applyNumberFormat="1" applyFont="1" applyFill="1"/>
    <xf numFmtId="2" fontId="2" fillId="5" borderId="0" xfId="2" applyNumberFormat="1" applyFont="1" applyFill="1"/>
    <xf numFmtId="1" fontId="2" fillId="5" borderId="0" xfId="2" applyNumberFormat="1" applyFont="1" applyFill="1"/>
    <xf numFmtId="164" fontId="2" fillId="5" borderId="0" xfId="0" applyNumberFormat="1" applyFont="1" applyFill="1"/>
    <xf numFmtId="43" fontId="2" fillId="5" borderId="0" xfId="0" applyNumberFormat="1" applyFont="1" applyFill="1"/>
    <xf numFmtId="8" fontId="2" fillId="5" borderId="0" xfId="0" applyNumberFormat="1" applyFont="1" applyFill="1"/>
    <xf numFmtId="10" fontId="2" fillId="5" borderId="0" xfId="0" applyNumberFormat="1" applyFont="1" applyFill="1"/>
    <xf numFmtId="0" fontId="0" fillId="5" borderId="0" xfId="0" applyFill="1"/>
    <xf numFmtId="1" fontId="2" fillId="4" borderId="0" xfId="2" applyNumberFormat="1" applyFont="1" applyFill="1"/>
    <xf numFmtId="0" fontId="3" fillId="6" borderId="1" xfId="0" applyFont="1" applyFill="1" applyBorder="1" applyAlignment="1">
      <alignment horizontal="center" vertical="center" wrapText="1" readingOrder="2"/>
    </xf>
    <xf numFmtId="0" fontId="3" fillId="6" borderId="2" xfId="0" applyFont="1" applyFill="1" applyBorder="1" applyAlignment="1">
      <alignment horizontal="center" vertical="center" wrapText="1" readingOrder="2"/>
    </xf>
    <xf numFmtId="0" fontId="3" fillId="0" borderId="3" xfId="0" applyFont="1" applyBorder="1" applyAlignment="1">
      <alignment horizontal="center" vertical="center" wrapText="1" readingOrder="2"/>
    </xf>
    <xf numFmtId="0" fontId="3" fillId="0" borderId="4" xfId="0" applyFont="1" applyBorder="1" applyAlignment="1">
      <alignment horizontal="center" vertical="center" wrapText="1" readingOrder="2"/>
    </xf>
    <xf numFmtId="0" fontId="3" fillId="6" borderId="3" xfId="0" applyFont="1" applyFill="1" applyBorder="1" applyAlignment="1">
      <alignment horizontal="center" vertical="center" wrapText="1" readingOrder="2"/>
    </xf>
    <xf numFmtId="0" fontId="3" fillId="6" borderId="4" xfId="0" applyFont="1" applyFill="1" applyBorder="1" applyAlignment="1">
      <alignment horizontal="center" vertical="center" wrapText="1" readingOrder="2"/>
    </xf>
    <xf numFmtId="10" fontId="2" fillId="3" borderId="0" xfId="0" applyNumberFormat="1" applyFont="1" applyFill="1" applyAlignment="1">
      <alignment readingOrder="2"/>
    </xf>
    <xf numFmtId="1" fontId="2" fillId="0" borderId="0" xfId="2" applyNumberFormat="1" applyFont="1"/>
    <xf numFmtId="9" fontId="2" fillId="7" borderId="0" xfId="2" applyFont="1" applyFill="1"/>
    <xf numFmtId="164" fontId="2" fillId="7" borderId="0" xfId="1" applyNumberFormat="1" applyFont="1" applyFill="1"/>
    <xf numFmtId="10" fontId="2" fillId="7" borderId="0" xfId="2" applyNumberFormat="1" applyFont="1" applyFill="1"/>
    <xf numFmtId="2" fontId="2" fillId="7" borderId="0" xfId="2" applyNumberFormat="1" applyFont="1" applyFill="1"/>
    <xf numFmtId="1" fontId="2" fillId="7" borderId="0" xfId="2" applyNumberFormat="1" applyFont="1" applyFill="1"/>
    <xf numFmtId="164" fontId="2" fillId="7" borderId="0" xfId="0" applyNumberFormat="1" applyFont="1" applyFill="1"/>
    <xf numFmtId="43" fontId="2" fillId="7" borderId="0" xfId="0" applyNumberFormat="1" applyFont="1" applyFill="1"/>
    <xf numFmtId="8" fontId="2" fillId="7" borderId="0" xfId="0" applyNumberFormat="1" applyFont="1" applyFill="1"/>
    <xf numFmtId="10" fontId="2" fillId="7" borderId="0" xfId="0" applyNumberFormat="1" applyFont="1" applyFill="1"/>
    <xf numFmtId="0" fontId="0" fillId="7" borderId="0" xfId="0" applyFill="1"/>
    <xf numFmtId="10" fontId="0" fillId="0" borderId="0" xfId="0" applyNumberFormat="1"/>
    <xf numFmtId="0" fontId="4" fillId="8" borderId="6" xfId="0" applyFont="1" applyFill="1" applyBorder="1" applyAlignment="1">
      <alignment vertical="center" wrapText="1" readingOrder="2"/>
    </xf>
    <xf numFmtId="0" fontId="4" fillId="8" borderId="6" xfId="0" applyFont="1" applyFill="1" applyBorder="1" applyAlignment="1">
      <alignment horizontal="center" vertical="center" wrapText="1" readingOrder="2"/>
    </xf>
    <xf numFmtId="0" fontId="4" fillId="8" borderId="7" xfId="0" applyFont="1" applyFill="1" applyBorder="1" applyAlignment="1">
      <alignment vertical="center" wrapText="1" readingOrder="2"/>
    </xf>
    <xf numFmtId="0" fontId="4" fillId="8" borderId="7" xfId="0" applyFont="1" applyFill="1" applyBorder="1" applyAlignment="1">
      <alignment horizontal="center" vertical="center" wrapText="1" readingOrder="2"/>
    </xf>
    <xf numFmtId="0" fontId="5" fillId="8" borderId="7" xfId="0" applyFont="1" applyFill="1" applyBorder="1" applyAlignment="1">
      <alignment horizontal="center" vertical="center" wrapText="1" readingOrder="2"/>
    </xf>
    <xf numFmtId="0" fontId="6" fillId="0" borderId="6" xfId="0" applyFont="1" applyBorder="1" applyAlignment="1">
      <alignment vertical="center" wrapText="1" readingOrder="2"/>
    </xf>
    <xf numFmtId="0" fontId="4" fillId="6" borderId="6" xfId="0" applyFont="1" applyFill="1" applyBorder="1" applyAlignment="1">
      <alignment vertical="center" wrapText="1" readingOrder="2"/>
    </xf>
    <xf numFmtId="0" fontId="4" fillId="6" borderId="5" xfId="0" applyFont="1" applyFill="1" applyBorder="1" applyAlignment="1">
      <alignment horizontal="center" vertical="center" wrapText="1" readingOrder="2"/>
    </xf>
    <xf numFmtId="0" fontId="4" fillId="0" borderId="6" xfId="0" applyFont="1" applyBorder="1" applyAlignment="1">
      <alignment vertical="center" wrapText="1" readingOrder="2"/>
    </xf>
    <xf numFmtId="9" fontId="4" fillId="0" borderId="6" xfId="0" applyNumberFormat="1" applyFont="1" applyBorder="1" applyAlignment="1">
      <alignment vertical="center" wrapText="1" readingOrder="2"/>
    </xf>
    <xf numFmtId="0" fontId="6" fillId="0" borderId="8" xfId="0" applyFont="1" applyBorder="1" applyAlignment="1">
      <alignment vertical="center" wrapText="1" readingOrder="2"/>
    </xf>
    <xf numFmtId="0" fontId="4" fillId="6" borderId="7" xfId="0" applyFont="1" applyFill="1" applyBorder="1" applyAlignment="1">
      <alignment vertical="center" wrapText="1" readingOrder="2"/>
    </xf>
    <xf numFmtId="0" fontId="4" fillId="0" borderId="8" xfId="0" applyFont="1" applyBorder="1" applyAlignment="1">
      <alignment vertical="center" wrapText="1" readingOrder="2"/>
    </xf>
    <xf numFmtId="9" fontId="4" fillId="0" borderId="7" xfId="0" applyNumberFormat="1" applyFont="1" applyBorder="1" applyAlignment="1">
      <alignment vertical="center" wrapText="1" readingOrder="2"/>
    </xf>
    <xf numFmtId="0" fontId="4" fillId="6" borderId="8" xfId="0" applyFont="1" applyFill="1" applyBorder="1" applyAlignment="1">
      <alignment vertical="center" wrapText="1" readingOrder="2"/>
    </xf>
    <xf numFmtId="0" fontId="4" fillId="9" borderId="5" xfId="0" applyFont="1" applyFill="1" applyBorder="1" applyAlignment="1">
      <alignment horizontal="center" vertical="center" wrapText="1" readingOrder="2"/>
    </xf>
    <xf numFmtId="9" fontId="4" fillId="9" borderId="5" xfId="0" applyNumberFormat="1" applyFont="1" applyFill="1" applyBorder="1" applyAlignment="1">
      <alignment horizontal="center" vertical="center" wrapText="1" readingOrder="2"/>
    </xf>
    <xf numFmtId="0" fontId="4" fillId="10" borderId="6" xfId="0" applyFont="1" applyFill="1" applyBorder="1" applyAlignment="1">
      <alignment vertical="center" wrapText="1" readingOrder="2"/>
    </xf>
    <xf numFmtId="0" fontId="4" fillId="10" borderId="5" xfId="0" applyFont="1" applyFill="1" applyBorder="1" applyAlignment="1">
      <alignment horizontal="center" vertical="center" wrapText="1" readingOrder="2"/>
    </xf>
    <xf numFmtId="9" fontId="4" fillId="10" borderId="5" xfId="0" applyNumberFormat="1" applyFont="1" applyFill="1" applyBorder="1" applyAlignment="1">
      <alignment horizontal="center" vertical="center" wrapText="1" readingOrder="2"/>
    </xf>
    <xf numFmtId="0" fontId="4" fillId="10" borderId="8" xfId="0" applyFont="1" applyFill="1" applyBorder="1" applyAlignment="1">
      <alignment vertical="center" wrapText="1" readingOrder="2"/>
    </xf>
    <xf numFmtId="0" fontId="4" fillId="10" borderId="7" xfId="0" applyFont="1" applyFill="1" applyBorder="1" applyAlignment="1">
      <alignment vertical="center" wrapText="1" readingOrder="2"/>
    </xf>
    <xf numFmtId="0" fontId="4" fillId="11" borderId="6" xfId="0" applyFont="1" applyFill="1" applyBorder="1" applyAlignment="1">
      <alignment vertical="center" wrapText="1" readingOrder="2"/>
    </xf>
    <xf numFmtId="0" fontId="4" fillId="11" borderId="5" xfId="0" applyFont="1" applyFill="1" applyBorder="1" applyAlignment="1">
      <alignment horizontal="center" vertical="center" wrapText="1" readingOrder="2"/>
    </xf>
    <xf numFmtId="9" fontId="4" fillId="11" borderId="6" xfId="0" applyNumberFormat="1" applyFont="1" applyFill="1" applyBorder="1" applyAlignment="1">
      <alignment vertical="center" wrapText="1" readingOrder="2"/>
    </xf>
    <xf numFmtId="0" fontId="4" fillId="11" borderId="7" xfId="0" applyFont="1" applyFill="1" applyBorder="1" applyAlignment="1">
      <alignment vertical="center" wrapText="1" readingOrder="2"/>
    </xf>
    <xf numFmtId="9" fontId="4" fillId="11" borderId="7" xfId="0" applyNumberFormat="1" applyFont="1" applyFill="1" applyBorder="1" applyAlignment="1">
      <alignment vertical="center" wrapText="1" readingOrder="2"/>
    </xf>
    <xf numFmtId="0" fontId="4" fillId="9" borderId="6" xfId="0" applyFont="1" applyFill="1" applyBorder="1" applyAlignment="1">
      <alignment vertical="center" wrapText="1" readingOrder="2"/>
    </xf>
    <xf numFmtId="9" fontId="4" fillId="9" borderId="6" xfId="0" applyNumberFormat="1" applyFont="1" applyFill="1" applyBorder="1" applyAlignment="1">
      <alignment vertical="center" wrapText="1" readingOrder="2"/>
    </xf>
    <xf numFmtId="0" fontId="4" fillId="9" borderId="7" xfId="0" applyFont="1" applyFill="1" applyBorder="1" applyAlignment="1">
      <alignment vertical="center" wrapText="1" readingOrder="2"/>
    </xf>
    <xf numFmtId="9" fontId="4" fillId="9" borderId="7" xfId="0" applyNumberFormat="1" applyFont="1" applyFill="1" applyBorder="1" applyAlignment="1">
      <alignment vertical="center" wrapText="1" readingOrder="2"/>
    </xf>
    <xf numFmtId="0" fontId="4" fillId="12" borderId="6" xfId="0" applyFont="1" applyFill="1" applyBorder="1" applyAlignment="1">
      <alignment vertical="center" wrapText="1" readingOrder="2"/>
    </xf>
    <xf numFmtId="9" fontId="4" fillId="12" borderId="5" xfId="0" applyNumberFormat="1" applyFont="1" applyFill="1" applyBorder="1" applyAlignment="1">
      <alignment horizontal="center" vertical="center" wrapText="1" readingOrder="2"/>
    </xf>
    <xf numFmtId="0" fontId="4" fillId="12" borderId="5" xfId="0" applyFont="1" applyFill="1" applyBorder="1" applyAlignment="1">
      <alignment horizontal="center" vertical="center" wrapText="1" readingOrder="2"/>
    </xf>
    <xf numFmtId="0" fontId="6" fillId="0" borderId="7" xfId="0" applyFont="1" applyBorder="1" applyAlignment="1">
      <alignment vertical="center" wrapText="1" readingOrder="2"/>
    </xf>
    <xf numFmtId="0" fontId="4" fillId="12" borderId="7" xfId="0" applyFont="1" applyFill="1" applyBorder="1" applyAlignment="1">
      <alignment vertical="center" wrapText="1" readingOrder="2"/>
    </xf>
    <xf numFmtId="10" fontId="4" fillId="6" borderId="5" xfId="0" applyNumberFormat="1" applyFont="1" applyFill="1" applyBorder="1" applyAlignment="1">
      <alignment horizontal="center" vertical="center" wrapText="1" readingOrder="2"/>
    </xf>
    <xf numFmtId="0" fontId="4" fillId="13" borderId="6" xfId="0" applyFont="1" applyFill="1" applyBorder="1" applyAlignment="1">
      <alignment vertical="center" wrapText="1" readingOrder="2"/>
    </xf>
    <xf numFmtId="0" fontId="4" fillId="13" borderId="5" xfId="0" applyFont="1" applyFill="1" applyBorder="1" applyAlignment="1">
      <alignment horizontal="center" vertical="center" wrapText="1" readingOrder="2"/>
    </xf>
    <xf numFmtId="9" fontId="4" fillId="13" borderId="6" xfId="0" applyNumberFormat="1" applyFont="1" applyFill="1" applyBorder="1" applyAlignment="1">
      <alignment vertical="center" wrapText="1" readingOrder="2"/>
    </xf>
    <xf numFmtId="0" fontId="4" fillId="13" borderId="7" xfId="0" applyFont="1" applyFill="1" applyBorder="1" applyAlignment="1">
      <alignment vertical="center" wrapText="1" readingOrder="2"/>
    </xf>
    <xf numFmtId="9" fontId="4" fillId="13" borderId="7" xfId="0" applyNumberFormat="1" applyFont="1" applyFill="1" applyBorder="1" applyAlignment="1">
      <alignment vertical="center" wrapText="1" readingOrder="2"/>
    </xf>
    <xf numFmtId="0" fontId="4" fillId="14" borderId="6" xfId="0" applyFont="1" applyFill="1" applyBorder="1" applyAlignment="1">
      <alignment vertical="center" wrapText="1" readingOrder="2"/>
    </xf>
    <xf numFmtId="0" fontId="4" fillId="14" borderId="5" xfId="0" applyFont="1" applyFill="1" applyBorder="1" applyAlignment="1">
      <alignment horizontal="center" vertical="center" wrapText="1" readingOrder="2"/>
    </xf>
    <xf numFmtId="10" fontId="4" fillId="14" borderId="6" xfId="0" applyNumberFormat="1" applyFont="1" applyFill="1" applyBorder="1" applyAlignment="1">
      <alignment vertical="center" wrapText="1" readingOrder="2"/>
    </xf>
    <xf numFmtId="0" fontId="4" fillId="14" borderId="7" xfId="0" applyFont="1" applyFill="1" applyBorder="1" applyAlignment="1">
      <alignment vertical="center" wrapText="1" readingOrder="2"/>
    </xf>
    <xf numFmtId="10" fontId="4" fillId="14" borderId="7" xfId="0" applyNumberFormat="1" applyFont="1" applyFill="1" applyBorder="1" applyAlignment="1">
      <alignment vertical="center" wrapText="1" readingOrder="2"/>
    </xf>
    <xf numFmtId="0" fontId="4" fillId="0" borderId="7" xfId="0" applyFont="1" applyBorder="1" applyAlignment="1">
      <alignment vertical="center" wrapText="1" readingOrder="2"/>
    </xf>
    <xf numFmtId="10" fontId="4" fillId="12" borderId="5" xfId="0" applyNumberFormat="1" applyFont="1" applyFill="1" applyBorder="1" applyAlignment="1">
      <alignment horizontal="center" vertical="center" wrapText="1" readingOrder="2"/>
    </xf>
    <xf numFmtId="9" fontId="8" fillId="15" borderId="9" xfId="2" applyFont="1" applyFill="1" applyBorder="1" applyAlignment="1">
      <alignment horizontal="center" vertical="center" wrapText="1"/>
    </xf>
    <xf numFmtId="0" fontId="8" fillId="15" borderId="9" xfId="0" applyFont="1" applyFill="1" applyBorder="1" applyAlignment="1">
      <alignment horizontal="center" vertical="center" wrapText="1"/>
    </xf>
    <xf numFmtId="1" fontId="9" fillId="0" borderId="9" xfId="2" applyNumberFormat="1" applyFont="1" applyFill="1" applyBorder="1" applyAlignment="1">
      <alignment horizontal="center" vertical="center"/>
    </xf>
    <xf numFmtId="9" fontId="9" fillId="0" borderId="9" xfId="2" applyFont="1" applyFill="1" applyBorder="1" applyAlignment="1">
      <alignment horizontal="center" vertical="center"/>
    </xf>
    <xf numFmtId="9" fontId="9" fillId="17" borderId="9" xfId="2" applyFont="1" applyFill="1" applyBorder="1" applyAlignment="1">
      <alignment horizontal="center" vertical="center"/>
    </xf>
    <xf numFmtId="1" fontId="9" fillId="17" borderId="9" xfId="2" applyNumberFormat="1" applyFont="1" applyFill="1" applyBorder="1" applyAlignment="1">
      <alignment horizontal="center" vertical="center"/>
    </xf>
    <xf numFmtId="9" fontId="9" fillId="0" borderId="11" xfId="2" applyFont="1" applyFill="1" applyBorder="1" applyAlignment="1">
      <alignment horizontal="center" vertical="center"/>
    </xf>
    <xf numFmtId="9" fontId="9" fillId="0" borderId="12" xfId="2" applyFont="1" applyFill="1" applyBorder="1" applyAlignment="1">
      <alignment horizontal="center" vertical="center"/>
    </xf>
    <xf numFmtId="9" fontId="9" fillId="0" borderId="10" xfId="2" applyFont="1" applyFill="1" applyBorder="1" applyAlignment="1">
      <alignment horizontal="center" vertical="center"/>
    </xf>
    <xf numFmtId="9" fontId="9" fillId="17" borderId="11" xfId="2" applyFont="1" applyFill="1" applyBorder="1" applyAlignment="1">
      <alignment horizontal="center" vertical="center"/>
    </xf>
    <xf numFmtId="9" fontId="9" fillId="17" borderId="10" xfId="2" applyFont="1" applyFill="1" applyBorder="1" applyAlignment="1">
      <alignment horizontal="center" vertical="center"/>
    </xf>
    <xf numFmtId="9" fontId="9" fillId="17" borderId="12" xfId="2" applyFont="1" applyFill="1" applyBorder="1" applyAlignment="1">
      <alignment horizontal="center" vertical="center"/>
    </xf>
    <xf numFmtId="0" fontId="8" fillId="16" borderId="11" xfId="0" applyFont="1" applyFill="1" applyBorder="1" applyAlignment="1">
      <alignment horizontal="center" vertical="center" wrapText="1"/>
    </xf>
    <xf numFmtId="0" fontId="8" fillId="16" borderId="12" xfId="0" applyFont="1" applyFill="1" applyBorder="1" applyAlignment="1">
      <alignment horizontal="center" vertical="center" wrapText="1"/>
    </xf>
    <xf numFmtId="0" fontId="8" fillId="16" borderId="10" xfId="0" applyFont="1" applyFill="1" applyBorder="1" applyAlignment="1">
      <alignment horizontal="center" vertical="center" wrapText="1"/>
    </xf>
    <xf numFmtId="1" fontId="9" fillId="0" borderId="11" xfId="2" applyNumberFormat="1" applyFont="1" applyFill="1" applyBorder="1" applyAlignment="1">
      <alignment horizontal="center" vertical="center"/>
    </xf>
    <xf numFmtId="1" fontId="9" fillId="0" borderId="12" xfId="2" applyNumberFormat="1" applyFont="1" applyFill="1" applyBorder="1" applyAlignment="1">
      <alignment horizontal="center" vertical="center"/>
    </xf>
    <xf numFmtId="1" fontId="9" fillId="0" borderId="10" xfId="2" applyNumberFormat="1" applyFont="1" applyFill="1" applyBorder="1" applyAlignment="1">
      <alignment horizontal="center" vertical="center"/>
    </xf>
    <xf numFmtId="1" fontId="9" fillId="17" borderId="11" xfId="2" applyNumberFormat="1" applyFont="1" applyFill="1" applyBorder="1" applyAlignment="1">
      <alignment horizontal="center" vertical="center"/>
    </xf>
    <xf numFmtId="1" fontId="9" fillId="17" borderId="12" xfId="2" applyNumberFormat="1" applyFont="1" applyFill="1" applyBorder="1" applyAlignment="1">
      <alignment horizontal="center" vertical="center"/>
    </xf>
    <xf numFmtId="1" fontId="9" fillId="17" borderId="10" xfId="2" applyNumberFormat="1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1"/>
  <sheetViews>
    <sheetView rightToLeft="1" topLeftCell="C7" workbookViewId="0">
      <selection activeCell="H17" sqref="H17"/>
    </sheetView>
  </sheetViews>
  <sheetFormatPr defaultRowHeight="14.25" x14ac:dyDescent="0.2"/>
  <cols>
    <col min="3" max="3" width="9" customWidth="1"/>
    <col min="5" max="5" width="11.125" bestFit="1" customWidth="1"/>
    <col min="6" max="8" width="11.125" customWidth="1"/>
    <col min="9" max="9" width="11.125" bestFit="1" customWidth="1"/>
    <col min="10" max="10" width="7.875" customWidth="1"/>
    <col min="11" max="11" width="11.25" customWidth="1"/>
    <col min="12" max="12" width="11.125" bestFit="1" customWidth="1"/>
    <col min="13" max="13" width="8.5" customWidth="1"/>
    <col min="14" max="14" width="12.625" hidden="1" customWidth="1"/>
    <col min="15" max="15" width="10.75" customWidth="1"/>
    <col min="16" max="16" width="11.75" customWidth="1"/>
    <col min="17" max="17" width="15.75" bestFit="1" customWidth="1"/>
  </cols>
  <sheetData>
    <row r="1" spans="1:19" ht="42" customHeigh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7</v>
      </c>
      <c r="J1" s="1" t="s">
        <v>8</v>
      </c>
      <c r="K1" s="1" t="s">
        <v>12</v>
      </c>
      <c r="L1" s="1" t="s">
        <v>11</v>
      </c>
      <c r="M1" s="1" t="s">
        <v>15</v>
      </c>
      <c r="N1" s="1" t="s">
        <v>10</v>
      </c>
      <c r="O1" s="1" t="s">
        <v>13</v>
      </c>
      <c r="P1" s="1" t="s">
        <v>14</v>
      </c>
      <c r="Q1" s="2">
        <v>0</v>
      </c>
      <c r="R1" s="1" t="s">
        <v>16</v>
      </c>
    </row>
    <row r="2" spans="1:19" ht="18" x14ac:dyDescent="0.45">
      <c r="A2" s="2">
        <v>0.08</v>
      </c>
      <c r="B2" s="3">
        <v>3</v>
      </c>
      <c r="C2" s="2">
        <v>0.122</v>
      </c>
      <c r="D2" s="2">
        <f>B2*A2/12</f>
        <v>0.02</v>
      </c>
      <c r="E2" s="3">
        <v>10000000</v>
      </c>
      <c r="F2" s="2">
        <v>0</v>
      </c>
      <c r="G2" s="8">
        <v>0.16</v>
      </c>
      <c r="H2" s="10">
        <v>1</v>
      </c>
      <c r="I2" s="3">
        <f>H2*E2</f>
        <v>10000000</v>
      </c>
      <c r="J2" s="38">
        <v>12</v>
      </c>
      <c r="K2" s="4">
        <f>E2*F2*B2/12</f>
        <v>0</v>
      </c>
      <c r="L2" s="4">
        <f>E2*D2+M2</f>
        <v>200000</v>
      </c>
      <c r="M2" s="4">
        <f>I2*$Q$1</f>
        <v>0</v>
      </c>
      <c r="N2" s="5">
        <f>E2*(1-C2-0.03)</f>
        <v>8480000</v>
      </c>
      <c r="O2" s="4">
        <f>L2-K2</f>
        <v>200000</v>
      </c>
      <c r="P2" s="4">
        <f t="shared" ref="P2:P14" si="0">I2-O2</f>
        <v>9800000</v>
      </c>
      <c r="Q2" s="6">
        <f>PMT(G2/12,J2,I2)</f>
        <v>-907308.57859207992</v>
      </c>
      <c r="R2" s="37">
        <f>RATE(J2,Q2,P2,,,0.18)*12</f>
        <v>0.19891337247470875</v>
      </c>
      <c r="S2" s="49">
        <f>ROUND(G2,2)</f>
        <v>0.16</v>
      </c>
    </row>
    <row r="3" spans="1:19" ht="18" x14ac:dyDescent="0.45">
      <c r="A3" s="2">
        <v>0.08</v>
      </c>
      <c r="B3" s="3">
        <v>3</v>
      </c>
      <c r="C3" s="2">
        <v>0.122</v>
      </c>
      <c r="D3" s="2">
        <f t="shared" ref="D3:D22" si="1">B3*A3/12</f>
        <v>0.02</v>
      </c>
      <c r="E3" s="3">
        <v>10000000</v>
      </c>
      <c r="F3" s="2">
        <v>0</v>
      </c>
      <c r="G3" s="8">
        <v>0.17</v>
      </c>
      <c r="H3" s="10">
        <v>0.7</v>
      </c>
      <c r="I3" s="3">
        <f t="shared" ref="I3:I8" si="2">H3*E3</f>
        <v>7000000</v>
      </c>
      <c r="J3" s="38">
        <v>24</v>
      </c>
      <c r="K3" s="4">
        <f t="shared" ref="K3:K8" si="3">E3*F3*B3/12</f>
        <v>0</v>
      </c>
      <c r="L3" s="4">
        <f t="shared" ref="L3:L14" si="4">E3*D3+M3</f>
        <v>200000</v>
      </c>
      <c r="M3" s="4">
        <f t="shared" ref="M3:M14" si="5">I3*$Q$1</f>
        <v>0</v>
      </c>
      <c r="N3" s="5">
        <f t="shared" ref="N3:N8" si="6">E3*(1-C3-0.03)</f>
        <v>8480000</v>
      </c>
      <c r="O3" s="4">
        <f t="shared" ref="O3:O8" si="7">L3-K3</f>
        <v>200000</v>
      </c>
      <c r="P3" s="4">
        <f t="shared" si="0"/>
        <v>6800000</v>
      </c>
      <c r="Q3" s="6">
        <f t="shared" ref="Q3:Q14" si="8">PMT(G3/12,J3,I3)</f>
        <v>-346095.84859847627</v>
      </c>
      <c r="R3" s="37">
        <f t="shared" ref="R3:R14" si="9">RATE(J3,Q3,P3,,,0.18)*12</f>
        <v>0.20001321706858149</v>
      </c>
      <c r="S3" s="49">
        <f t="shared" ref="S3:S41" si="10">ROUND(G3,2)</f>
        <v>0.17</v>
      </c>
    </row>
    <row r="4" spans="1:19" ht="18" x14ac:dyDescent="0.45">
      <c r="A4" s="2">
        <v>0.08</v>
      </c>
      <c r="B4" s="3">
        <v>3</v>
      </c>
      <c r="C4" s="2">
        <v>0.122</v>
      </c>
      <c r="D4" s="2">
        <f t="shared" si="1"/>
        <v>0.02</v>
      </c>
      <c r="E4" s="3">
        <v>10000000</v>
      </c>
      <c r="F4" s="2">
        <v>0</v>
      </c>
      <c r="G4" s="8">
        <v>0.17</v>
      </c>
      <c r="H4" s="10">
        <v>0.5</v>
      </c>
      <c r="I4" s="3">
        <f t="shared" ref="I4:I6" si="11">H4*E4</f>
        <v>5000000</v>
      </c>
      <c r="J4" s="38">
        <v>36</v>
      </c>
      <c r="K4" s="4">
        <f t="shared" ref="K4:K6" si="12">E4*F4*B4/12</f>
        <v>0</v>
      </c>
      <c r="L4" s="4">
        <f t="shared" ref="L4:L6" si="13">E4*D4+M4</f>
        <v>200000</v>
      </c>
      <c r="M4" s="4">
        <f t="shared" ref="M4:M6" si="14">I4*$Q$1</f>
        <v>0</v>
      </c>
      <c r="N4" s="5">
        <f t="shared" ref="N4:N6" si="15">E4*(1-C4-0.03)</f>
        <v>8480000</v>
      </c>
      <c r="O4" s="4">
        <f t="shared" ref="O4:O6" si="16">L4-K4</f>
        <v>200000</v>
      </c>
      <c r="P4" s="4">
        <f t="shared" ref="P4:P6" si="17">I4-O4</f>
        <v>4800000</v>
      </c>
      <c r="Q4" s="6">
        <f t="shared" ref="Q4:Q6" si="18">PMT(G4/12,J4,I4)</f>
        <v>-178263.63763372338</v>
      </c>
      <c r="R4" s="37">
        <f t="shared" ref="R4:R6" si="19">RATE(J4,Q4,P4,,,0.18)*12</f>
        <v>0.19950286486068478</v>
      </c>
      <c r="S4" s="49">
        <f t="shared" si="10"/>
        <v>0.17</v>
      </c>
    </row>
    <row r="5" spans="1:19" ht="18" x14ac:dyDescent="0.45">
      <c r="A5" s="2">
        <v>0.1</v>
      </c>
      <c r="B5" s="3">
        <v>6</v>
      </c>
      <c r="C5" s="2">
        <v>0.122</v>
      </c>
      <c r="D5" s="2">
        <f t="shared" si="1"/>
        <v>5.000000000000001E-2</v>
      </c>
      <c r="E5" s="3">
        <v>10000000</v>
      </c>
      <c r="F5" s="2">
        <v>0</v>
      </c>
      <c r="G5" s="8">
        <v>0.11</v>
      </c>
      <c r="H5" s="10">
        <v>1</v>
      </c>
      <c r="I5" s="3">
        <f t="shared" si="11"/>
        <v>10000000</v>
      </c>
      <c r="J5" s="38">
        <v>12</v>
      </c>
      <c r="K5" s="4">
        <f t="shared" si="12"/>
        <v>0</v>
      </c>
      <c r="L5" s="4">
        <f t="shared" si="13"/>
        <v>500000.00000000012</v>
      </c>
      <c r="M5" s="4">
        <f t="shared" si="14"/>
        <v>0</v>
      </c>
      <c r="N5" s="5">
        <f t="shared" si="15"/>
        <v>8480000</v>
      </c>
      <c r="O5" s="4">
        <f t="shared" si="16"/>
        <v>500000.00000000012</v>
      </c>
      <c r="P5" s="4">
        <f t="shared" si="17"/>
        <v>9500000</v>
      </c>
      <c r="Q5" s="6">
        <f t="shared" si="18"/>
        <v>-883816.58521604037</v>
      </c>
      <c r="R5" s="37">
        <f t="shared" si="19"/>
        <v>0.20832336803922902</v>
      </c>
      <c r="S5" s="49">
        <f t="shared" si="10"/>
        <v>0.11</v>
      </c>
    </row>
    <row r="6" spans="1:19" ht="18" x14ac:dyDescent="0.45">
      <c r="A6" s="2">
        <v>0.1</v>
      </c>
      <c r="B6" s="3">
        <v>6</v>
      </c>
      <c r="C6" s="2">
        <v>0.122</v>
      </c>
      <c r="D6" s="2">
        <f t="shared" si="1"/>
        <v>5.000000000000001E-2</v>
      </c>
      <c r="E6" s="3">
        <v>10000000</v>
      </c>
      <c r="F6" s="2">
        <v>0</v>
      </c>
      <c r="G6" s="8">
        <v>0.15</v>
      </c>
      <c r="H6" s="10">
        <v>1</v>
      </c>
      <c r="I6" s="3">
        <f t="shared" si="11"/>
        <v>10000000</v>
      </c>
      <c r="J6" s="38">
        <v>24</v>
      </c>
      <c r="K6" s="4">
        <f t="shared" si="12"/>
        <v>0</v>
      </c>
      <c r="L6" s="4">
        <f t="shared" si="13"/>
        <v>500000.00000000012</v>
      </c>
      <c r="M6" s="4">
        <f t="shared" si="14"/>
        <v>0</v>
      </c>
      <c r="N6" s="5">
        <f t="shared" si="15"/>
        <v>8480000</v>
      </c>
      <c r="O6" s="4">
        <f t="shared" si="16"/>
        <v>500000.00000000012</v>
      </c>
      <c r="P6" s="4">
        <f t="shared" si="17"/>
        <v>9500000</v>
      </c>
      <c r="Q6" s="6">
        <f t="shared" si="18"/>
        <v>-484866.48046951019</v>
      </c>
      <c r="R6" s="37">
        <f t="shared" si="19"/>
        <v>0.20292027520444228</v>
      </c>
      <c r="S6" s="49">
        <f t="shared" si="10"/>
        <v>0.15</v>
      </c>
    </row>
    <row r="7" spans="1:19" ht="18" x14ac:dyDescent="0.45">
      <c r="A7" s="2">
        <v>0.1</v>
      </c>
      <c r="B7" s="3">
        <v>6</v>
      </c>
      <c r="C7" s="2">
        <v>0.122</v>
      </c>
      <c r="D7" s="2">
        <f t="shared" si="1"/>
        <v>5.000000000000001E-2</v>
      </c>
      <c r="E7" s="3">
        <v>10000000</v>
      </c>
      <c r="F7" s="2">
        <v>0</v>
      </c>
      <c r="G7" s="8">
        <v>0.16</v>
      </c>
      <c r="H7" s="10">
        <v>1</v>
      </c>
      <c r="I7" s="3">
        <f t="shared" si="2"/>
        <v>10000000</v>
      </c>
      <c r="J7" s="38">
        <v>36</v>
      </c>
      <c r="K7" s="4">
        <f t="shared" si="3"/>
        <v>0</v>
      </c>
      <c r="L7" s="4">
        <f t="shared" si="4"/>
        <v>500000.00000000012</v>
      </c>
      <c r="M7" s="4">
        <f t="shared" si="5"/>
        <v>0</v>
      </c>
      <c r="N7" s="5">
        <f t="shared" si="6"/>
        <v>8480000</v>
      </c>
      <c r="O7" s="4">
        <f t="shared" si="7"/>
        <v>500000.00000000012</v>
      </c>
      <c r="P7" s="4">
        <f t="shared" si="0"/>
        <v>9500000</v>
      </c>
      <c r="Q7" s="6">
        <f t="shared" si="8"/>
        <v>-351570.33036350092</v>
      </c>
      <c r="R7" s="37">
        <f t="shared" si="9"/>
        <v>0.19693117436793822</v>
      </c>
      <c r="S7" s="49">
        <f t="shared" si="10"/>
        <v>0.16</v>
      </c>
    </row>
    <row r="8" spans="1:19" ht="18" x14ac:dyDescent="0.45">
      <c r="A8" s="2">
        <v>0.11</v>
      </c>
      <c r="B8" s="3">
        <v>9</v>
      </c>
      <c r="C8" s="2">
        <v>0.122</v>
      </c>
      <c r="D8" s="2">
        <f t="shared" si="1"/>
        <v>8.2500000000000004E-2</v>
      </c>
      <c r="E8" s="3">
        <v>10000000</v>
      </c>
      <c r="F8" s="2">
        <v>0</v>
      </c>
      <c r="G8" s="8">
        <v>0.09</v>
      </c>
      <c r="H8" s="10">
        <v>1.5</v>
      </c>
      <c r="I8" s="3">
        <f t="shared" si="2"/>
        <v>15000000</v>
      </c>
      <c r="J8" s="38">
        <v>12</v>
      </c>
      <c r="K8" s="4">
        <f t="shared" si="3"/>
        <v>0</v>
      </c>
      <c r="L8" s="4">
        <f t="shared" si="4"/>
        <v>825000</v>
      </c>
      <c r="M8" s="4">
        <f t="shared" si="5"/>
        <v>0</v>
      </c>
      <c r="N8" s="5">
        <f t="shared" si="6"/>
        <v>8480000</v>
      </c>
      <c r="O8" s="4">
        <f t="shared" si="7"/>
        <v>825000</v>
      </c>
      <c r="P8" s="4">
        <f t="shared" si="0"/>
        <v>14175000</v>
      </c>
      <c r="Q8" s="6">
        <f t="shared" si="8"/>
        <v>-1311772.1515488215</v>
      </c>
      <c r="R8" s="37">
        <f t="shared" si="9"/>
        <v>0.19805084698364564</v>
      </c>
      <c r="S8" s="49">
        <f t="shared" si="10"/>
        <v>0.09</v>
      </c>
    </row>
    <row r="9" spans="1:19" ht="18" x14ac:dyDescent="0.45">
      <c r="A9" s="2">
        <v>0.11</v>
      </c>
      <c r="B9" s="3">
        <v>9</v>
      </c>
      <c r="C9" s="2">
        <v>0.122</v>
      </c>
      <c r="D9" s="2">
        <f t="shared" si="1"/>
        <v>8.2500000000000004E-2</v>
      </c>
      <c r="E9" s="3">
        <v>10000000</v>
      </c>
      <c r="F9" s="2">
        <v>0</v>
      </c>
      <c r="G9" s="8">
        <v>0.11</v>
      </c>
      <c r="H9" s="10">
        <v>1</v>
      </c>
      <c r="I9" s="3">
        <f t="shared" ref="I9:I10" si="20">H9*E9</f>
        <v>10000000</v>
      </c>
      <c r="J9" s="38">
        <v>24</v>
      </c>
      <c r="K9" s="4">
        <f t="shared" ref="K9:K10" si="21">E9*F9*B9/12</f>
        <v>0</v>
      </c>
      <c r="L9" s="4">
        <f t="shared" si="4"/>
        <v>825000</v>
      </c>
      <c r="M9" s="4">
        <f t="shared" si="5"/>
        <v>0</v>
      </c>
      <c r="N9" s="5">
        <f t="shared" ref="N9:N10" si="22">E9*(1-C9-0.03)</f>
        <v>8480000</v>
      </c>
      <c r="O9" s="4">
        <f>L9-K9</f>
        <v>825000</v>
      </c>
      <c r="P9" s="4">
        <f t="shared" si="0"/>
        <v>9175000</v>
      </c>
      <c r="Q9" s="6">
        <f t="shared" si="8"/>
        <v>-466078.38196525059</v>
      </c>
      <c r="R9" s="37">
        <f t="shared" si="9"/>
        <v>0.19801191509040009</v>
      </c>
      <c r="S9" s="49">
        <f t="shared" si="10"/>
        <v>0.11</v>
      </c>
    </row>
    <row r="10" spans="1:19" ht="18" x14ac:dyDescent="0.45">
      <c r="A10" s="2">
        <v>0.11</v>
      </c>
      <c r="B10" s="3">
        <v>9</v>
      </c>
      <c r="C10" s="2">
        <v>0.122</v>
      </c>
      <c r="D10" s="2">
        <f t="shared" si="1"/>
        <v>8.2500000000000004E-2</v>
      </c>
      <c r="E10" s="3">
        <v>10000000</v>
      </c>
      <c r="F10" s="2">
        <v>0</v>
      </c>
      <c r="G10" s="8">
        <v>0.14000000000000001</v>
      </c>
      <c r="H10" s="10">
        <v>1</v>
      </c>
      <c r="I10" s="3">
        <f t="shared" si="20"/>
        <v>10000000</v>
      </c>
      <c r="J10" s="38">
        <v>36</v>
      </c>
      <c r="K10" s="4">
        <f t="shared" si="21"/>
        <v>0</v>
      </c>
      <c r="L10" s="4">
        <f t="shared" si="4"/>
        <v>825000</v>
      </c>
      <c r="M10" s="4">
        <f t="shared" si="5"/>
        <v>0</v>
      </c>
      <c r="N10" s="5">
        <f t="shared" si="22"/>
        <v>8480000</v>
      </c>
      <c r="O10" s="4">
        <f>L10-K10</f>
        <v>825000</v>
      </c>
      <c r="P10" s="4">
        <f t="shared" si="0"/>
        <v>9175000</v>
      </c>
      <c r="Q10" s="6">
        <f t="shared" si="8"/>
        <v>-341776.29758025619</v>
      </c>
      <c r="R10" s="37">
        <f t="shared" si="9"/>
        <v>0.20171103657050499</v>
      </c>
      <c r="S10" s="49">
        <f t="shared" si="10"/>
        <v>0.14000000000000001</v>
      </c>
    </row>
    <row r="11" spans="1:19" ht="18" x14ac:dyDescent="0.45">
      <c r="A11" s="2">
        <v>0.13</v>
      </c>
      <c r="B11" s="3">
        <v>12</v>
      </c>
      <c r="C11" s="2">
        <v>0.122</v>
      </c>
      <c r="D11" s="2">
        <f t="shared" si="1"/>
        <v>0.13</v>
      </c>
      <c r="E11" s="3">
        <v>10000000</v>
      </c>
      <c r="F11" s="2">
        <v>0</v>
      </c>
      <c r="G11" s="8">
        <v>7.0000000000000007E-2</v>
      </c>
      <c r="H11" s="10">
        <v>2</v>
      </c>
      <c r="I11" s="3">
        <f t="shared" ref="I11:I13" si="23">H11*E11</f>
        <v>20000000</v>
      </c>
      <c r="J11" s="38">
        <v>12</v>
      </c>
      <c r="K11" s="4">
        <f t="shared" ref="K11:K13" si="24">E11*F11*B11/12</f>
        <v>0</v>
      </c>
      <c r="L11" s="4">
        <f t="shared" ref="L11:L13" si="25">E11*D11+M11</f>
        <v>1300000</v>
      </c>
      <c r="M11" s="4">
        <f t="shared" ref="M11:M13" si="26">I11*$Q$1</f>
        <v>0</v>
      </c>
      <c r="N11" s="5">
        <f t="shared" ref="N11:N13" si="27">E11*(1-C11-0.03)</f>
        <v>8480000</v>
      </c>
      <c r="O11" s="4">
        <f t="shared" ref="O11:O13" si="28">L11-K11</f>
        <v>1300000</v>
      </c>
      <c r="P11" s="4">
        <f t="shared" ref="P11:P13" si="29">I11-O11</f>
        <v>18700000</v>
      </c>
      <c r="Q11" s="6">
        <f t="shared" ref="Q11:Q13" si="30">PMT(G11/12,J11,I11)</f>
        <v>-1730534.9219627613</v>
      </c>
      <c r="R11" s="37">
        <f t="shared" ref="R11:R13" si="31">RATE(J11,Q11,P11,,,0.18)*12</f>
        <v>0.19806609096403083</v>
      </c>
      <c r="S11" s="49">
        <f t="shared" si="10"/>
        <v>7.0000000000000007E-2</v>
      </c>
    </row>
    <row r="12" spans="1:19" ht="18" x14ac:dyDescent="0.45">
      <c r="A12" s="2">
        <v>0.13</v>
      </c>
      <c r="B12" s="3">
        <v>12</v>
      </c>
      <c r="C12" s="2">
        <v>0.122</v>
      </c>
      <c r="D12" s="2">
        <f t="shared" si="1"/>
        <v>0.13</v>
      </c>
      <c r="E12" s="3">
        <v>10000000</v>
      </c>
      <c r="F12" s="2">
        <v>0</v>
      </c>
      <c r="G12" s="8">
        <v>0.11</v>
      </c>
      <c r="H12" s="10">
        <v>1.5</v>
      </c>
      <c r="I12" s="3">
        <f t="shared" si="23"/>
        <v>15000000</v>
      </c>
      <c r="J12" s="38">
        <v>24</v>
      </c>
      <c r="K12" s="4">
        <f t="shared" si="24"/>
        <v>0</v>
      </c>
      <c r="L12" s="4">
        <f t="shared" si="25"/>
        <v>1300000</v>
      </c>
      <c r="M12" s="4">
        <f t="shared" si="26"/>
        <v>0</v>
      </c>
      <c r="N12" s="5">
        <f t="shared" si="27"/>
        <v>8480000</v>
      </c>
      <c r="O12" s="4">
        <f t="shared" si="28"/>
        <v>1300000</v>
      </c>
      <c r="P12" s="4">
        <f t="shared" si="29"/>
        <v>13700000</v>
      </c>
      <c r="Q12" s="6">
        <f t="shared" si="30"/>
        <v>-699117.57294787595</v>
      </c>
      <c r="R12" s="12">
        <f t="shared" si="31"/>
        <v>0.2027547825775104</v>
      </c>
      <c r="S12" s="49">
        <f t="shared" si="10"/>
        <v>0.11</v>
      </c>
    </row>
    <row r="13" spans="1:19" ht="18" x14ac:dyDescent="0.45">
      <c r="A13" s="2">
        <v>0.13</v>
      </c>
      <c r="B13" s="3">
        <v>12</v>
      </c>
      <c r="C13" s="2">
        <v>0.122</v>
      </c>
      <c r="D13" s="2">
        <f t="shared" si="1"/>
        <v>0.13</v>
      </c>
      <c r="E13" s="3">
        <v>10000000</v>
      </c>
      <c r="F13" s="2">
        <v>0</v>
      </c>
      <c r="G13" s="8">
        <v>0.1</v>
      </c>
      <c r="H13" s="10">
        <v>1</v>
      </c>
      <c r="I13" s="3">
        <f t="shared" si="23"/>
        <v>10000000</v>
      </c>
      <c r="J13" s="38">
        <v>36</v>
      </c>
      <c r="K13" s="4">
        <f t="shared" si="24"/>
        <v>0</v>
      </c>
      <c r="L13" s="4">
        <f t="shared" si="25"/>
        <v>1300000</v>
      </c>
      <c r="M13" s="4">
        <f t="shared" si="26"/>
        <v>0</v>
      </c>
      <c r="N13" s="5">
        <f t="shared" si="27"/>
        <v>8480000</v>
      </c>
      <c r="O13" s="4">
        <f t="shared" si="28"/>
        <v>1300000</v>
      </c>
      <c r="P13" s="4">
        <f t="shared" si="29"/>
        <v>8700000</v>
      </c>
      <c r="Q13" s="6">
        <f t="shared" si="30"/>
        <v>-322671.87193837482</v>
      </c>
      <c r="R13" s="12">
        <f t="shared" si="31"/>
        <v>0.1985299137920673</v>
      </c>
      <c r="S13" s="49">
        <f t="shared" si="10"/>
        <v>0.1</v>
      </c>
    </row>
    <row r="14" spans="1:19" ht="18" x14ac:dyDescent="0.45">
      <c r="A14" s="2">
        <v>0.1</v>
      </c>
      <c r="B14" s="3">
        <v>6</v>
      </c>
      <c r="C14" s="2">
        <v>0.122</v>
      </c>
      <c r="D14" s="2">
        <f t="shared" si="1"/>
        <v>5.000000000000001E-2</v>
      </c>
      <c r="E14" s="3">
        <v>10000000</v>
      </c>
      <c r="F14" s="2">
        <v>0.08</v>
      </c>
      <c r="G14" s="8">
        <v>0.17</v>
      </c>
      <c r="H14" s="10">
        <v>0.7</v>
      </c>
      <c r="I14" s="3">
        <f t="shared" ref="I14" si="32">H14*E14</f>
        <v>7000000</v>
      </c>
      <c r="J14" s="38">
        <v>12</v>
      </c>
      <c r="K14" s="4">
        <f t="shared" ref="K14" si="33">E14*F14*B14/12</f>
        <v>400000</v>
      </c>
      <c r="L14" s="4">
        <f t="shared" si="4"/>
        <v>500000.00000000012</v>
      </c>
      <c r="M14" s="4">
        <f t="shared" si="5"/>
        <v>0</v>
      </c>
      <c r="N14" s="5">
        <f t="shared" ref="N14" si="34">E14*(1-C14-0.03)</f>
        <v>8480000</v>
      </c>
      <c r="O14" s="4">
        <f t="shared" ref="O14" si="35">L14-K14</f>
        <v>100000.00000000012</v>
      </c>
      <c r="P14" s="4">
        <f t="shared" si="0"/>
        <v>6900000</v>
      </c>
      <c r="Q14" s="6">
        <f t="shared" si="8"/>
        <v>-638433.26454863674</v>
      </c>
      <c r="R14" s="12">
        <f t="shared" si="9"/>
        <v>0.19774382880043562</v>
      </c>
      <c r="S14" s="49">
        <f t="shared" si="10"/>
        <v>0.17</v>
      </c>
    </row>
    <row r="15" spans="1:19" ht="18" x14ac:dyDescent="0.45">
      <c r="A15" s="2">
        <v>0.1</v>
      </c>
      <c r="B15" s="3">
        <v>6</v>
      </c>
      <c r="C15" s="2">
        <v>0.122</v>
      </c>
      <c r="D15" s="2">
        <f t="shared" si="1"/>
        <v>5.000000000000001E-2</v>
      </c>
      <c r="E15" s="3">
        <v>10000000</v>
      </c>
      <c r="F15" s="2">
        <v>0.08</v>
      </c>
      <c r="G15" s="8">
        <v>0.18</v>
      </c>
      <c r="H15" s="10">
        <v>0.5</v>
      </c>
      <c r="I15" s="3">
        <f t="shared" ref="I15:I16" si="36">H15*E15</f>
        <v>5000000</v>
      </c>
      <c r="J15" s="38">
        <v>24</v>
      </c>
      <c r="K15" s="4">
        <f t="shared" ref="K15:K16" si="37">E15*F15*B15/12</f>
        <v>400000</v>
      </c>
      <c r="L15" s="4">
        <f t="shared" ref="L15:L16" si="38">E15*D15+M15</f>
        <v>500000.00000000012</v>
      </c>
      <c r="M15" s="4">
        <f t="shared" ref="M15:M16" si="39">I15*$Q$1</f>
        <v>0</v>
      </c>
      <c r="N15" s="5">
        <f t="shared" ref="N15:N16" si="40">E15*(1-C15-0.03)</f>
        <v>8480000</v>
      </c>
      <c r="O15" s="4">
        <f t="shared" ref="O15:O16" si="41">L15-K15</f>
        <v>100000.00000000012</v>
      </c>
      <c r="P15" s="4">
        <f t="shared" ref="P15:P16" si="42">I15-O15</f>
        <v>4900000</v>
      </c>
      <c r="Q15" s="6">
        <f t="shared" ref="Q15:Q16" si="43">PMT(G15/12,J15,I15)</f>
        <v>-249620.50984754361</v>
      </c>
      <c r="R15" s="12">
        <f t="shared" ref="R15:R16" si="44">RATE(J15,Q15,P15,,,0.18)*12</f>
        <v>0.2009650849993834</v>
      </c>
      <c r="S15" s="49">
        <f t="shared" si="10"/>
        <v>0.18</v>
      </c>
    </row>
    <row r="16" spans="1:19" ht="18" x14ac:dyDescent="0.45">
      <c r="A16" s="2">
        <v>0.11</v>
      </c>
      <c r="B16" s="3">
        <v>9</v>
      </c>
      <c r="C16" s="2">
        <v>0.122</v>
      </c>
      <c r="D16" s="2">
        <f t="shared" si="1"/>
        <v>8.2500000000000004E-2</v>
      </c>
      <c r="E16" s="3">
        <v>10000000</v>
      </c>
      <c r="F16" s="2">
        <v>0.08</v>
      </c>
      <c r="G16" s="8">
        <v>0.16</v>
      </c>
      <c r="H16" s="10">
        <v>1</v>
      </c>
      <c r="I16" s="3">
        <f t="shared" si="36"/>
        <v>10000000</v>
      </c>
      <c r="J16" s="38">
        <v>12</v>
      </c>
      <c r="K16" s="4">
        <f t="shared" si="37"/>
        <v>600000</v>
      </c>
      <c r="L16" s="4">
        <f t="shared" si="38"/>
        <v>825000</v>
      </c>
      <c r="M16" s="4">
        <f t="shared" si="39"/>
        <v>0</v>
      </c>
      <c r="N16" s="5">
        <f t="shared" si="40"/>
        <v>8480000</v>
      </c>
      <c r="O16" s="4">
        <f t="shared" si="41"/>
        <v>225000</v>
      </c>
      <c r="P16" s="4">
        <f t="shared" si="42"/>
        <v>9775000</v>
      </c>
      <c r="Q16" s="6">
        <f t="shared" si="43"/>
        <v>-907308.57859207992</v>
      </c>
      <c r="R16" s="12">
        <f t="shared" si="44"/>
        <v>0.20385890070635956</v>
      </c>
      <c r="S16" s="49">
        <f t="shared" si="10"/>
        <v>0.16</v>
      </c>
    </row>
    <row r="17" spans="1:19" ht="18" x14ac:dyDescent="0.45">
      <c r="A17" s="2">
        <v>0.11</v>
      </c>
      <c r="B17" s="3">
        <v>9</v>
      </c>
      <c r="C17" s="2">
        <v>0.122</v>
      </c>
      <c r="D17" s="2">
        <f t="shared" si="1"/>
        <v>8.2500000000000004E-2</v>
      </c>
      <c r="E17" s="3">
        <v>10000000</v>
      </c>
      <c r="F17" s="2">
        <v>0.08</v>
      </c>
      <c r="G17" s="8">
        <v>0.17</v>
      </c>
      <c r="H17" s="10">
        <v>0.7</v>
      </c>
      <c r="I17" s="3">
        <f>H17*E17</f>
        <v>7000000</v>
      </c>
      <c r="J17" s="38">
        <v>24</v>
      </c>
      <c r="K17" s="4">
        <f t="shared" ref="K17:K18" si="45">E17*F17*B17/12</f>
        <v>600000</v>
      </c>
      <c r="L17" s="4">
        <f t="shared" ref="L17:L18" si="46">E17*D17+M17</f>
        <v>825000</v>
      </c>
      <c r="M17" s="4">
        <f t="shared" ref="M17:M18" si="47">I17*$Q$1</f>
        <v>0</v>
      </c>
      <c r="N17" s="5">
        <f t="shared" ref="N17:N18" si="48">E17*(1-C17-0.03)</f>
        <v>8480000</v>
      </c>
      <c r="O17" s="4">
        <f t="shared" ref="O17:O18" si="49">L17-K17</f>
        <v>225000</v>
      </c>
      <c r="P17" s="4">
        <f t="shared" ref="P17:P39" si="50">I17-O17</f>
        <v>6775000</v>
      </c>
      <c r="Q17" s="6">
        <f t="shared" ref="Q17:Q18" si="51">PMT(G17/12,J17,I17)</f>
        <v>-346095.84859847627</v>
      </c>
      <c r="R17" s="12">
        <f t="shared" ref="R17:R18" si="52">RATE(J17,Q17,P17,,,0.18)*12</f>
        <v>0.20385365025925284</v>
      </c>
      <c r="S17" s="49">
        <f t="shared" si="10"/>
        <v>0.17</v>
      </c>
    </row>
    <row r="18" spans="1:19" ht="18" x14ac:dyDescent="0.45">
      <c r="A18" s="2">
        <v>0.11</v>
      </c>
      <c r="B18" s="3">
        <v>9</v>
      </c>
      <c r="C18" s="2">
        <v>0.122</v>
      </c>
      <c r="D18" s="2">
        <f t="shared" si="1"/>
        <v>8.2500000000000004E-2</v>
      </c>
      <c r="E18" s="3">
        <v>10000000</v>
      </c>
      <c r="F18" s="2">
        <v>0.08</v>
      </c>
      <c r="G18" s="8">
        <v>0.17</v>
      </c>
      <c r="H18" s="10">
        <v>0.5</v>
      </c>
      <c r="I18" s="3">
        <f t="shared" ref="I18" si="53">H18*E18</f>
        <v>5000000</v>
      </c>
      <c r="J18" s="38">
        <v>36</v>
      </c>
      <c r="K18" s="4">
        <f t="shared" si="45"/>
        <v>600000</v>
      </c>
      <c r="L18" s="4">
        <f t="shared" si="46"/>
        <v>825000</v>
      </c>
      <c r="M18" s="4">
        <f t="shared" si="47"/>
        <v>0</v>
      </c>
      <c r="N18" s="5">
        <f t="shared" si="48"/>
        <v>8480000</v>
      </c>
      <c r="O18" s="4">
        <f t="shared" si="49"/>
        <v>225000</v>
      </c>
      <c r="P18" s="4">
        <f t="shared" si="50"/>
        <v>4775000</v>
      </c>
      <c r="Q18" s="6">
        <f t="shared" si="51"/>
        <v>-178263.63763372338</v>
      </c>
      <c r="R18" s="12">
        <f t="shared" si="52"/>
        <v>0.20331484717438658</v>
      </c>
      <c r="S18" s="49">
        <f t="shared" si="10"/>
        <v>0.17</v>
      </c>
    </row>
    <row r="19" spans="1:19" ht="18" x14ac:dyDescent="0.45">
      <c r="A19" s="2">
        <v>0.13</v>
      </c>
      <c r="B19" s="3">
        <v>12</v>
      </c>
      <c r="C19" s="2">
        <v>0.122</v>
      </c>
      <c r="D19" s="2">
        <f t="shared" si="1"/>
        <v>0.13</v>
      </c>
      <c r="E19" s="3">
        <v>10000000</v>
      </c>
      <c r="F19" s="2">
        <v>0.08</v>
      </c>
      <c r="G19" s="8">
        <v>0.1</v>
      </c>
      <c r="H19" s="10">
        <v>1</v>
      </c>
      <c r="I19" s="3">
        <f>H19*E19</f>
        <v>10000000</v>
      </c>
      <c r="J19" s="38">
        <v>12</v>
      </c>
      <c r="K19" s="4">
        <f>E19*F19*B19/12</f>
        <v>800000</v>
      </c>
      <c r="L19" s="4">
        <f>E19*D19+M19</f>
        <v>1300000</v>
      </c>
      <c r="M19" s="4">
        <f>I19*$Q$1</f>
        <v>0</v>
      </c>
      <c r="N19" s="5">
        <f>E19*(1-C19-0.03)</f>
        <v>8480000</v>
      </c>
      <c r="O19" s="4">
        <f>L19-K19</f>
        <v>500000</v>
      </c>
      <c r="P19" s="4">
        <f t="shared" si="50"/>
        <v>9500000</v>
      </c>
      <c r="Q19" s="6">
        <f>PMT(G19/12,J19,I19)</f>
        <v>-879158.87230009597</v>
      </c>
      <c r="R19" s="12">
        <f>RATE(J19,Q19,P19,,,0.18)*12</f>
        <v>0.19808835027919486</v>
      </c>
      <c r="S19" s="49">
        <f t="shared" si="10"/>
        <v>0.1</v>
      </c>
    </row>
    <row r="20" spans="1:19" ht="18" x14ac:dyDescent="0.45">
      <c r="A20" s="2">
        <v>0.13</v>
      </c>
      <c r="B20" s="3">
        <v>12</v>
      </c>
      <c r="C20" s="2">
        <v>0.122</v>
      </c>
      <c r="D20" s="2">
        <f t="shared" si="1"/>
        <v>0.13</v>
      </c>
      <c r="E20" s="3">
        <v>10000000</v>
      </c>
      <c r="F20" s="2">
        <v>0.08</v>
      </c>
      <c r="G20" s="8">
        <v>0.15</v>
      </c>
      <c r="H20" s="10">
        <v>1</v>
      </c>
      <c r="I20" s="3">
        <f t="shared" ref="I20:I39" si="54">H20*E20</f>
        <v>10000000</v>
      </c>
      <c r="J20" s="38">
        <v>24</v>
      </c>
      <c r="K20" s="4">
        <f t="shared" ref="K20:K41" si="55">E20*F20*B20/12</f>
        <v>800000</v>
      </c>
      <c r="L20" s="4">
        <f t="shared" ref="L20:L41" si="56">E20*D20+M20</f>
        <v>1300000</v>
      </c>
      <c r="M20" s="4">
        <f t="shared" ref="M20:M32" si="57">I20*$Q$1</f>
        <v>0</v>
      </c>
      <c r="N20" s="5">
        <f t="shared" ref="N20:N41" si="58">E20*(1-C20-0.03)</f>
        <v>8480000</v>
      </c>
      <c r="O20" s="4">
        <f t="shared" ref="O20:O27" si="59">L20-K20</f>
        <v>500000</v>
      </c>
      <c r="P20" s="4">
        <f t="shared" si="50"/>
        <v>9500000</v>
      </c>
      <c r="Q20" s="6">
        <f t="shared" ref="Q20:Q41" si="60">PMT(G20/12,J20,I20)</f>
        <v>-484866.48046951019</v>
      </c>
      <c r="R20" s="12">
        <f t="shared" ref="R20:R41" si="61">RATE(J20,Q20,P20,,,0.18)*12</f>
        <v>0.20292027520444228</v>
      </c>
      <c r="S20" s="49">
        <f t="shared" si="10"/>
        <v>0.15</v>
      </c>
    </row>
    <row r="21" spans="1:19" ht="18" x14ac:dyDescent="0.45">
      <c r="A21" s="2">
        <v>0.13</v>
      </c>
      <c r="B21" s="3">
        <v>12</v>
      </c>
      <c r="C21" s="2">
        <v>0.122</v>
      </c>
      <c r="D21" s="2">
        <f t="shared" si="1"/>
        <v>0.13</v>
      </c>
      <c r="E21" s="3">
        <v>10000000</v>
      </c>
      <c r="F21" s="2">
        <v>0.08</v>
      </c>
      <c r="G21" s="8">
        <v>0.16</v>
      </c>
      <c r="H21" s="10">
        <v>1</v>
      </c>
      <c r="I21" s="3">
        <f t="shared" si="54"/>
        <v>10000000</v>
      </c>
      <c r="J21" s="38">
        <v>36</v>
      </c>
      <c r="K21" s="4">
        <f t="shared" si="55"/>
        <v>800000</v>
      </c>
      <c r="L21" s="4">
        <f t="shared" si="56"/>
        <v>1300000</v>
      </c>
      <c r="M21" s="4">
        <f t="shared" si="57"/>
        <v>0</v>
      </c>
      <c r="N21" s="5">
        <f t="shared" si="58"/>
        <v>8480000</v>
      </c>
      <c r="O21" s="4">
        <f t="shared" si="59"/>
        <v>500000</v>
      </c>
      <c r="P21" s="4">
        <f t="shared" si="50"/>
        <v>9500000</v>
      </c>
      <c r="Q21" s="6">
        <f t="shared" si="60"/>
        <v>-351570.33036350092</v>
      </c>
      <c r="R21" s="12">
        <f t="shared" si="61"/>
        <v>0.19693117436793822</v>
      </c>
      <c r="S21" s="49">
        <f t="shared" si="10"/>
        <v>0.16</v>
      </c>
    </row>
    <row r="22" spans="1:19" ht="18" x14ac:dyDescent="0.45">
      <c r="A22" s="2">
        <v>0.13</v>
      </c>
      <c r="B22" s="3">
        <v>12</v>
      </c>
      <c r="C22" s="2">
        <v>0.122</v>
      </c>
      <c r="D22" s="2">
        <f t="shared" si="1"/>
        <v>0.13</v>
      </c>
      <c r="E22" s="3">
        <v>10000000</v>
      </c>
      <c r="F22" s="2">
        <v>0.08</v>
      </c>
      <c r="G22" s="8">
        <v>0.18</v>
      </c>
      <c r="H22" s="10">
        <v>0.75</v>
      </c>
      <c r="I22" s="3">
        <f t="shared" si="54"/>
        <v>7500000</v>
      </c>
      <c r="J22" s="38">
        <v>48</v>
      </c>
      <c r="K22" s="4">
        <f>E22*F22*B22/12</f>
        <v>800000</v>
      </c>
      <c r="L22" s="4">
        <f t="shared" ref="L22" si="62">E22*D22+M22</f>
        <v>1300000</v>
      </c>
      <c r="M22" s="4">
        <f t="shared" ref="M22" si="63">I22*$Q$1</f>
        <v>0</v>
      </c>
      <c r="N22" s="5">
        <f t="shared" ref="N22" si="64">E22*(1-C22-0.03)</f>
        <v>8480000</v>
      </c>
      <c r="O22" s="4">
        <f t="shared" ref="O22" si="65">L22-K22</f>
        <v>500000</v>
      </c>
      <c r="P22" s="4">
        <f t="shared" ref="P22" si="66">I22-O22</f>
        <v>7000000</v>
      </c>
      <c r="Q22" s="6">
        <f t="shared" ref="Q22" si="67">PMT(G22/12,J22,I22)</f>
        <v>-220312.49706121656</v>
      </c>
      <c r="R22" s="12">
        <f t="shared" ref="R22" si="68">RATE(J22,Q22,P22,,,0.18)*12</f>
        <v>0.21939448400182401</v>
      </c>
      <c r="S22" s="49">
        <f t="shared" ref="S22" si="69">ROUND(G22,2)</f>
        <v>0.18</v>
      </c>
    </row>
    <row r="23" spans="1:19" ht="18" x14ac:dyDescent="0.45">
      <c r="A23" s="2">
        <v>0.13</v>
      </c>
      <c r="B23" s="3">
        <v>12</v>
      </c>
      <c r="C23" s="2">
        <v>0.12</v>
      </c>
      <c r="D23" s="2">
        <v>0.13</v>
      </c>
      <c r="E23" s="3">
        <v>10000000</v>
      </c>
      <c r="F23" s="2">
        <v>0</v>
      </c>
      <c r="G23" s="8">
        <v>0.17</v>
      </c>
      <c r="H23" s="10">
        <v>1.5</v>
      </c>
      <c r="I23" s="3">
        <f t="shared" ref="I23" si="70">H23*E23</f>
        <v>15000000</v>
      </c>
      <c r="J23" s="38">
        <v>48</v>
      </c>
      <c r="K23" s="4">
        <f>E23*F23*B23/12</f>
        <v>0</v>
      </c>
      <c r="L23" s="4">
        <f t="shared" ref="L23" si="71">E23*D23+M23</f>
        <v>1300000</v>
      </c>
      <c r="M23" s="4">
        <f t="shared" ref="M23" si="72">I23*$Q$1</f>
        <v>0</v>
      </c>
      <c r="N23" s="5">
        <f t="shared" ref="N23" si="73">E23*(1-C23-0.03)</f>
        <v>8500000</v>
      </c>
      <c r="O23" s="4">
        <f t="shared" ref="O23" si="74">L23-K23</f>
        <v>1300000</v>
      </c>
      <c r="P23" s="4">
        <f t="shared" ref="P23" si="75">I23-O23</f>
        <v>13700000</v>
      </c>
      <c r="Q23" s="6">
        <f t="shared" ref="Q23" si="76">PMT(G23/12,J23,I23)</f>
        <v>-432825.63461103389</v>
      </c>
      <c r="R23" s="12">
        <f t="shared" ref="R23" si="77">RATE(J23,Q23,P23,,,0.18)*12</f>
        <v>0.22160196569430496</v>
      </c>
      <c r="S23" s="49">
        <f t="shared" ref="S23" si="78">ROUND(G23,2)</f>
        <v>0.17</v>
      </c>
    </row>
    <row r="24" spans="1:19" s="48" customFormat="1" ht="18" x14ac:dyDescent="0.45">
      <c r="A24" s="39">
        <v>0.15</v>
      </c>
      <c r="B24" s="40">
        <v>18</v>
      </c>
      <c r="C24" s="39">
        <v>0.122</v>
      </c>
      <c r="D24" s="39">
        <f t="shared" ref="D24:D41" si="79">B24*A24/12</f>
        <v>0.22499999999999998</v>
      </c>
      <c r="E24" s="40">
        <v>10000000</v>
      </c>
      <c r="F24" s="39">
        <v>0.1</v>
      </c>
      <c r="G24" s="41">
        <v>0.14000000000000001</v>
      </c>
      <c r="H24" s="42">
        <v>1</v>
      </c>
      <c r="I24" s="40">
        <f t="shared" si="54"/>
        <v>10000000</v>
      </c>
      <c r="J24" s="43">
        <v>36</v>
      </c>
      <c r="K24" s="44">
        <f t="shared" si="55"/>
        <v>1500000</v>
      </c>
      <c r="L24" s="44">
        <f t="shared" si="56"/>
        <v>2250000</v>
      </c>
      <c r="M24" s="44">
        <f t="shared" si="57"/>
        <v>0</v>
      </c>
      <c r="N24" s="45">
        <f t="shared" si="58"/>
        <v>8480000</v>
      </c>
      <c r="O24" s="44">
        <f t="shared" si="59"/>
        <v>750000</v>
      </c>
      <c r="P24" s="44">
        <f t="shared" si="50"/>
        <v>9250000</v>
      </c>
      <c r="Q24" s="46">
        <f t="shared" si="60"/>
        <v>-341776.29758025619</v>
      </c>
      <c r="R24" s="47">
        <f t="shared" si="61"/>
        <v>0.19577756856718626</v>
      </c>
      <c r="S24" s="49">
        <f t="shared" si="10"/>
        <v>0.14000000000000001</v>
      </c>
    </row>
    <row r="25" spans="1:19" ht="18" x14ac:dyDescent="0.45">
      <c r="A25" s="2">
        <v>0.15</v>
      </c>
      <c r="B25" s="9">
        <v>24</v>
      </c>
      <c r="C25" s="2">
        <v>0.122</v>
      </c>
      <c r="D25" s="2">
        <f t="shared" si="79"/>
        <v>0.3</v>
      </c>
      <c r="E25" s="3">
        <v>10000000</v>
      </c>
      <c r="F25" s="2">
        <v>0.1</v>
      </c>
      <c r="G25" s="8">
        <v>0.13</v>
      </c>
      <c r="H25" s="10">
        <v>1</v>
      </c>
      <c r="I25" s="3">
        <f t="shared" si="54"/>
        <v>10000000</v>
      </c>
      <c r="J25" s="11">
        <v>36</v>
      </c>
      <c r="K25" s="4">
        <f t="shared" si="55"/>
        <v>2000000</v>
      </c>
      <c r="L25" s="4">
        <f t="shared" si="56"/>
        <v>3000000</v>
      </c>
      <c r="M25" s="4">
        <f t="shared" si="57"/>
        <v>0</v>
      </c>
      <c r="N25" s="5">
        <f t="shared" si="58"/>
        <v>8480000</v>
      </c>
      <c r="O25" s="4">
        <f t="shared" si="59"/>
        <v>1000000</v>
      </c>
      <c r="P25" s="4">
        <f t="shared" si="50"/>
        <v>9000000</v>
      </c>
      <c r="Q25" s="6">
        <f t="shared" si="60"/>
        <v>-336939.52003291773</v>
      </c>
      <c r="R25" s="12">
        <f t="shared" si="61"/>
        <v>0.20536922613185121</v>
      </c>
      <c r="S25" s="49">
        <f t="shared" si="10"/>
        <v>0.13</v>
      </c>
    </row>
    <row r="26" spans="1:19" ht="18" x14ac:dyDescent="0.45">
      <c r="A26" s="2">
        <v>0.1</v>
      </c>
      <c r="B26" s="9">
        <v>4</v>
      </c>
      <c r="C26" s="2">
        <v>0.122</v>
      </c>
      <c r="D26" s="2">
        <f t="shared" si="79"/>
        <v>3.3333333333333333E-2</v>
      </c>
      <c r="E26" s="3">
        <v>10000000</v>
      </c>
      <c r="F26" s="2">
        <v>0.1</v>
      </c>
      <c r="G26" s="8">
        <v>0.2</v>
      </c>
      <c r="H26" s="10">
        <v>1</v>
      </c>
      <c r="I26" s="3">
        <f t="shared" si="54"/>
        <v>10000000</v>
      </c>
      <c r="J26" s="11">
        <v>24</v>
      </c>
      <c r="K26" s="4">
        <f t="shared" si="55"/>
        <v>333333.33333333331</v>
      </c>
      <c r="L26" s="4">
        <f t="shared" si="56"/>
        <v>333333.33333333331</v>
      </c>
      <c r="M26" s="4">
        <f t="shared" si="57"/>
        <v>0</v>
      </c>
      <c r="N26" s="5">
        <f t="shared" si="58"/>
        <v>8480000</v>
      </c>
      <c r="O26" s="4">
        <f t="shared" si="59"/>
        <v>0</v>
      </c>
      <c r="P26" s="4">
        <f t="shared" si="50"/>
        <v>10000000</v>
      </c>
      <c r="Q26" s="6">
        <f t="shared" si="60"/>
        <v>-508958.02643238893</v>
      </c>
      <c r="R26" s="12">
        <f t="shared" si="61"/>
        <v>0.19999999999999846</v>
      </c>
      <c r="S26" s="49">
        <f t="shared" si="10"/>
        <v>0.2</v>
      </c>
    </row>
    <row r="27" spans="1:19" ht="18" x14ac:dyDescent="0.45">
      <c r="A27" s="2">
        <v>0.1</v>
      </c>
      <c r="B27" s="9">
        <v>6</v>
      </c>
      <c r="C27" s="2">
        <v>0.122</v>
      </c>
      <c r="D27" s="2">
        <f t="shared" si="79"/>
        <v>5.000000000000001E-2</v>
      </c>
      <c r="E27" s="3">
        <v>10000000</v>
      </c>
      <c r="F27" s="2">
        <v>0.1</v>
      </c>
      <c r="G27" s="8">
        <v>0.2</v>
      </c>
      <c r="H27" s="10">
        <v>1</v>
      </c>
      <c r="I27" s="3">
        <f t="shared" si="54"/>
        <v>10000000</v>
      </c>
      <c r="J27" s="11">
        <v>24</v>
      </c>
      <c r="K27" s="4">
        <f t="shared" si="55"/>
        <v>500000</v>
      </c>
      <c r="L27" s="4">
        <f t="shared" si="56"/>
        <v>500000.00000000012</v>
      </c>
      <c r="M27" s="4">
        <f t="shared" si="57"/>
        <v>0</v>
      </c>
      <c r="N27" s="5">
        <f t="shared" si="58"/>
        <v>8480000</v>
      </c>
      <c r="O27" s="4">
        <f t="shared" si="59"/>
        <v>0</v>
      </c>
      <c r="P27" s="4">
        <f t="shared" si="50"/>
        <v>10000000</v>
      </c>
      <c r="Q27" s="6">
        <f t="shared" si="60"/>
        <v>-508958.02643238893</v>
      </c>
      <c r="R27" s="12">
        <f t="shared" si="61"/>
        <v>0.19999999999999846</v>
      </c>
      <c r="S27" s="49">
        <f t="shared" si="10"/>
        <v>0.2</v>
      </c>
    </row>
    <row r="28" spans="1:19" ht="18" x14ac:dyDescent="0.45">
      <c r="A28" s="2">
        <v>0.1</v>
      </c>
      <c r="B28" s="9">
        <v>8</v>
      </c>
      <c r="C28" s="2">
        <v>0.122</v>
      </c>
      <c r="D28" s="2">
        <f t="shared" si="79"/>
        <v>6.6666666666666666E-2</v>
      </c>
      <c r="E28" s="3">
        <v>10000000</v>
      </c>
      <c r="F28" s="2">
        <v>0.1</v>
      </c>
      <c r="G28" s="8">
        <v>0.2</v>
      </c>
      <c r="H28" s="10">
        <v>1</v>
      </c>
      <c r="I28" s="3">
        <f t="shared" si="54"/>
        <v>10000000</v>
      </c>
      <c r="J28" s="11">
        <v>24</v>
      </c>
      <c r="K28" s="4">
        <f t="shared" si="55"/>
        <v>666666.66666666663</v>
      </c>
      <c r="L28" s="4">
        <f t="shared" si="56"/>
        <v>666666.66666666663</v>
      </c>
      <c r="M28" s="4">
        <f t="shared" si="57"/>
        <v>0</v>
      </c>
      <c r="N28" s="5">
        <f t="shared" si="58"/>
        <v>8480000</v>
      </c>
      <c r="O28" s="4">
        <f>L28-K28</f>
        <v>0</v>
      </c>
      <c r="P28" s="4">
        <f t="shared" si="50"/>
        <v>10000000</v>
      </c>
      <c r="Q28" s="6">
        <f t="shared" si="60"/>
        <v>-508958.02643238893</v>
      </c>
      <c r="R28" s="12">
        <f t="shared" si="61"/>
        <v>0.19999999999999846</v>
      </c>
      <c r="S28" s="49">
        <f t="shared" si="10"/>
        <v>0.2</v>
      </c>
    </row>
    <row r="29" spans="1:19" ht="18" x14ac:dyDescent="0.45">
      <c r="A29" s="2">
        <v>0.15</v>
      </c>
      <c r="B29" s="9">
        <v>12</v>
      </c>
      <c r="C29" s="2">
        <v>0.122</v>
      </c>
      <c r="D29" s="2">
        <f t="shared" si="79"/>
        <v>0.15</v>
      </c>
      <c r="E29" s="3">
        <v>10000000</v>
      </c>
      <c r="F29" s="2">
        <v>0.1</v>
      </c>
      <c r="G29" s="8">
        <v>0.15</v>
      </c>
      <c r="H29" s="10">
        <v>1</v>
      </c>
      <c r="I29" s="3">
        <f t="shared" si="54"/>
        <v>10000000</v>
      </c>
      <c r="J29" s="11">
        <v>24</v>
      </c>
      <c r="K29" s="4">
        <f t="shared" si="55"/>
        <v>1000000</v>
      </c>
      <c r="L29" s="4">
        <f t="shared" si="56"/>
        <v>1500000</v>
      </c>
      <c r="M29" s="4">
        <f t="shared" si="57"/>
        <v>0</v>
      </c>
      <c r="N29" s="5">
        <f t="shared" si="58"/>
        <v>8480000</v>
      </c>
      <c r="O29" s="4">
        <f>L29-K29</f>
        <v>500000</v>
      </c>
      <c r="P29" s="4">
        <f t="shared" si="50"/>
        <v>9500000</v>
      </c>
      <c r="Q29" s="6">
        <f t="shared" si="60"/>
        <v>-484866.48046951019</v>
      </c>
      <c r="R29" s="12">
        <f t="shared" si="61"/>
        <v>0.20292027520444228</v>
      </c>
      <c r="S29" s="49">
        <f t="shared" si="10"/>
        <v>0.15</v>
      </c>
    </row>
    <row r="30" spans="1:19" ht="18" x14ac:dyDescent="0.45">
      <c r="A30" s="2">
        <v>0.15</v>
      </c>
      <c r="B30" s="9">
        <v>15</v>
      </c>
      <c r="C30" s="2">
        <v>0.122</v>
      </c>
      <c r="D30" s="2">
        <f t="shared" si="79"/>
        <v>0.1875</v>
      </c>
      <c r="E30" s="3">
        <v>10000000</v>
      </c>
      <c r="F30" s="2">
        <v>0.1</v>
      </c>
      <c r="G30" s="8">
        <v>0.13</v>
      </c>
      <c r="H30" s="10">
        <v>1</v>
      </c>
      <c r="I30" s="3">
        <f t="shared" si="54"/>
        <v>10000000</v>
      </c>
      <c r="J30" s="11">
        <v>24</v>
      </c>
      <c r="K30" s="4">
        <f t="shared" si="55"/>
        <v>1250000</v>
      </c>
      <c r="L30" s="4">
        <f t="shared" si="56"/>
        <v>1875000</v>
      </c>
      <c r="M30" s="4">
        <f t="shared" si="57"/>
        <v>0</v>
      </c>
      <c r="N30" s="5">
        <f t="shared" si="58"/>
        <v>8480000</v>
      </c>
      <c r="O30" s="4">
        <f t="shared" ref="O30:O32" si="80">L30-K30</f>
        <v>625000</v>
      </c>
      <c r="P30" s="4">
        <f t="shared" si="50"/>
        <v>9375000</v>
      </c>
      <c r="Q30" s="6">
        <f t="shared" si="60"/>
        <v>-475418.22588451009</v>
      </c>
      <c r="R30" s="12">
        <f t="shared" si="61"/>
        <v>0.196218857919708</v>
      </c>
      <c r="S30" s="49">
        <f t="shared" si="10"/>
        <v>0.13</v>
      </c>
    </row>
    <row r="31" spans="1:19" ht="18" x14ac:dyDescent="0.45">
      <c r="A31" s="2">
        <v>0.15</v>
      </c>
      <c r="B31" s="9">
        <v>18</v>
      </c>
      <c r="C31" s="2">
        <v>0.122</v>
      </c>
      <c r="D31" s="2">
        <f t="shared" si="79"/>
        <v>0.22499999999999998</v>
      </c>
      <c r="E31" s="3">
        <v>10000000</v>
      </c>
      <c r="F31" s="2">
        <v>0.1</v>
      </c>
      <c r="G31" s="8">
        <v>0.12</v>
      </c>
      <c r="H31" s="10">
        <v>1</v>
      </c>
      <c r="I31" s="3">
        <f t="shared" si="54"/>
        <v>10000000</v>
      </c>
      <c r="J31" s="11">
        <v>24</v>
      </c>
      <c r="K31" s="4">
        <f t="shared" si="55"/>
        <v>1500000</v>
      </c>
      <c r="L31" s="4">
        <f t="shared" si="56"/>
        <v>2250000</v>
      </c>
      <c r="M31" s="4">
        <f t="shared" si="57"/>
        <v>0</v>
      </c>
      <c r="N31" s="5">
        <f t="shared" si="58"/>
        <v>8480000</v>
      </c>
      <c r="O31" s="4">
        <f t="shared" si="80"/>
        <v>750000</v>
      </c>
      <c r="P31" s="4">
        <f t="shared" si="50"/>
        <v>9250000</v>
      </c>
      <c r="Q31" s="6">
        <f t="shared" si="60"/>
        <v>-470734.72223264701</v>
      </c>
      <c r="R31" s="12">
        <f t="shared" si="61"/>
        <v>0.19988613371028152</v>
      </c>
      <c r="S31" s="49">
        <f t="shared" si="10"/>
        <v>0.12</v>
      </c>
    </row>
    <row r="32" spans="1:19" ht="18" x14ac:dyDescent="0.45">
      <c r="A32" s="2">
        <v>0.15</v>
      </c>
      <c r="B32" s="9">
        <v>24</v>
      </c>
      <c r="C32" s="2">
        <v>0.122</v>
      </c>
      <c r="D32" s="2">
        <f t="shared" si="79"/>
        <v>0.3</v>
      </c>
      <c r="E32" s="3">
        <v>10000000</v>
      </c>
      <c r="F32" s="2">
        <v>0.1</v>
      </c>
      <c r="G32" s="8">
        <v>0.09</v>
      </c>
      <c r="H32" s="10">
        <v>1</v>
      </c>
      <c r="I32" s="3">
        <f t="shared" si="54"/>
        <v>10000000</v>
      </c>
      <c r="J32" s="11">
        <v>24</v>
      </c>
      <c r="K32" s="4">
        <f t="shared" si="55"/>
        <v>2000000</v>
      </c>
      <c r="L32" s="4">
        <f t="shared" si="56"/>
        <v>3000000</v>
      </c>
      <c r="M32" s="4">
        <f t="shared" si="57"/>
        <v>0</v>
      </c>
      <c r="N32" s="5">
        <f t="shared" si="58"/>
        <v>8480000</v>
      </c>
      <c r="O32" s="4">
        <f t="shared" si="80"/>
        <v>1000000</v>
      </c>
      <c r="P32" s="4">
        <f t="shared" si="50"/>
        <v>9000000</v>
      </c>
      <c r="Q32" s="6">
        <f t="shared" si="60"/>
        <v>-456847.4227917309</v>
      </c>
      <c r="R32" s="12">
        <f t="shared" si="61"/>
        <v>0.1972349088035287</v>
      </c>
      <c r="S32" s="49">
        <f t="shared" si="10"/>
        <v>0.09</v>
      </c>
    </row>
    <row r="33" spans="1:19" ht="18" x14ac:dyDescent="0.45">
      <c r="A33" s="2">
        <v>0.1</v>
      </c>
      <c r="B33" s="9">
        <v>4</v>
      </c>
      <c r="C33" s="2">
        <v>0.122</v>
      </c>
      <c r="D33" s="2">
        <f t="shared" si="79"/>
        <v>3.3333333333333333E-2</v>
      </c>
      <c r="E33" s="3">
        <v>10000000</v>
      </c>
      <c r="F33" s="2">
        <v>0.1</v>
      </c>
      <c r="G33" s="8">
        <v>0.2</v>
      </c>
      <c r="H33" s="10">
        <v>1</v>
      </c>
      <c r="I33" s="3">
        <f t="shared" si="54"/>
        <v>10000000</v>
      </c>
      <c r="J33" s="11">
        <v>12</v>
      </c>
      <c r="K33" s="4">
        <f t="shared" si="55"/>
        <v>333333.33333333331</v>
      </c>
      <c r="L33" s="4">
        <f t="shared" si="56"/>
        <v>333333.33333333331</v>
      </c>
      <c r="M33" s="4">
        <f>I33*$Q$1</f>
        <v>0</v>
      </c>
      <c r="N33" s="5">
        <f t="shared" si="58"/>
        <v>8480000</v>
      </c>
      <c r="O33" s="4">
        <f>L33-K33</f>
        <v>0</v>
      </c>
      <c r="P33" s="4">
        <f t="shared" si="50"/>
        <v>10000000</v>
      </c>
      <c r="Q33" s="6">
        <f t="shared" si="60"/>
        <v>-926345.05897080025</v>
      </c>
      <c r="R33" s="12">
        <f t="shared" si="61"/>
        <v>0.20000000000000004</v>
      </c>
      <c r="S33" s="49">
        <f t="shared" si="10"/>
        <v>0.2</v>
      </c>
    </row>
    <row r="34" spans="1:19" ht="18" x14ac:dyDescent="0.45">
      <c r="A34" s="2">
        <v>0.1</v>
      </c>
      <c r="B34" s="9">
        <v>6</v>
      </c>
      <c r="C34" s="2">
        <v>0.122</v>
      </c>
      <c r="D34" s="2">
        <f t="shared" si="79"/>
        <v>5.000000000000001E-2</v>
      </c>
      <c r="E34" s="3">
        <v>10000000</v>
      </c>
      <c r="F34" s="2">
        <v>0.1</v>
      </c>
      <c r="G34" s="8">
        <v>0.2</v>
      </c>
      <c r="H34" s="10">
        <v>1</v>
      </c>
      <c r="I34" s="3">
        <f t="shared" si="54"/>
        <v>10000000</v>
      </c>
      <c r="J34" s="11">
        <v>12</v>
      </c>
      <c r="K34" s="4">
        <f t="shared" si="55"/>
        <v>500000</v>
      </c>
      <c r="L34" s="4">
        <f t="shared" si="56"/>
        <v>500000.00000000012</v>
      </c>
      <c r="M34" s="4">
        <f t="shared" ref="M34:M41" si="81">I34*$Q$1</f>
        <v>0</v>
      </c>
      <c r="N34" s="5">
        <f t="shared" si="58"/>
        <v>8480000</v>
      </c>
      <c r="O34" s="4">
        <f>L34-K34</f>
        <v>0</v>
      </c>
      <c r="P34" s="4">
        <f t="shared" si="50"/>
        <v>10000000</v>
      </c>
      <c r="Q34" s="6">
        <f t="shared" si="60"/>
        <v>-926345.05897080025</v>
      </c>
      <c r="R34" s="12">
        <f t="shared" si="61"/>
        <v>0.20000000000000004</v>
      </c>
      <c r="S34" s="49">
        <f t="shared" si="10"/>
        <v>0.2</v>
      </c>
    </row>
    <row r="35" spans="1:19" ht="18" x14ac:dyDescent="0.45">
      <c r="A35" s="2">
        <v>0.1</v>
      </c>
      <c r="B35" s="9">
        <v>8</v>
      </c>
      <c r="C35" s="2">
        <v>0.122</v>
      </c>
      <c r="D35" s="2">
        <f t="shared" si="79"/>
        <v>6.6666666666666666E-2</v>
      </c>
      <c r="E35" s="3">
        <v>10000000</v>
      </c>
      <c r="F35" s="2">
        <v>0.1</v>
      </c>
      <c r="G35" s="8">
        <v>0.2</v>
      </c>
      <c r="H35" s="10">
        <v>1</v>
      </c>
      <c r="I35" s="3">
        <f t="shared" si="54"/>
        <v>10000000</v>
      </c>
      <c r="J35" s="11">
        <v>12</v>
      </c>
      <c r="K35" s="4">
        <f t="shared" si="55"/>
        <v>666666.66666666663</v>
      </c>
      <c r="L35" s="4">
        <f t="shared" si="56"/>
        <v>666666.66666666663</v>
      </c>
      <c r="M35" s="4">
        <f t="shared" si="81"/>
        <v>0</v>
      </c>
      <c r="N35" s="5">
        <f t="shared" si="58"/>
        <v>8480000</v>
      </c>
      <c r="O35" s="4">
        <f>L35-K35</f>
        <v>0</v>
      </c>
      <c r="P35" s="4">
        <f t="shared" si="50"/>
        <v>10000000</v>
      </c>
      <c r="Q35" s="6">
        <f t="shared" si="60"/>
        <v>-926345.05897080025</v>
      </c>
      <c r="R35" s="12">
        <f t="shared" si="61"/>
        <v>0.20000000000000004</v>
      </c>
      <c r="S35" s="49">
        <f t="shared" si="10"/>
        <v>0.2</v>
      </c>
    </row>
    <row r="36" spans="1:19" ht="18" x14ac:dyDescent="0.45">
      <c r="A36" s="2">
        <v>0.15</v>
      </c>
      <c r="B36" s="9">
        <v>12</v>
      </c>
      <c r="C36" s="2">
        <v>0.122</v>
      </c>
      <c r="D36" s="2">
        <f t="shared" si="79"/>
        <v>0.15</v>
      </c>
      <c r="E36" s="3">
        <v>10000000</v>
      </c>
      <c r="F36" s="2">
        <v>0.1</v>
      </c>
      <c r="G36" s="8">
        <v>0.1</v>
      </c>
      <c r="H36" s="10">
        <v>1</v>
      </c>
      <c r="I36" s="3">
        <f t="shared" si="54"/>
        <v>10000000</v>
      </c>
      <c r="J36" s="11">
        <v>12</v>
      </c>
      <c r="K36" s="4">
        <f t="shared" si="55"/>
        <v>1000000</v>
      </c>
      <c r="L36" s="4">
        <f t="shared" si="56"/>
        <v>1500000</v>
      </c>
      <c r="M36" s="4">
        <f t="shared" si="81"/>
        <v>0</v>
      </c>
      <c r="N36" s="5">
        <f t="shared" si="58"/>
        <v>8480000</v>
      </c>
      <c r="O36" s="4">
        <f t="shared" ref="O36:O41" si="82">L36-K36</f>
        <v>500000</v>
      </c>
      <c r="P36" s="4">
        <f t="shared" si="50"/>
        <v>9500000</v>
      </c>
      <c r="Q36" s="6">
        <f t="shared" si="60"/>
        <v>-879158.87230009597</v>
      </c>
      <c r="R36" s="12">
        <f t="shared" si="61"/>
        <v>0.19808835027919486</v>
      </c>
      <c r="S36" s="49">
        <f t="shared" si="10"/>
        <v>0.1</v>
      </c>
    </row>
    <row r="37" spans="1:19" ht="18" x14ac:dyDescent="0.45">
      <c r="A37" s="2">
        <v>0.15</v>
      </c>
      <c r="B37" s="9">
        <v>15</v>
      </c>
      <c r="C37" s="2">
        <v>0.122</v>
      </c>
      <c r="D37" s="2">
        <f t="shared" si="79"/>
        <v>0.1875</v>
      </c>
      <c r="E37" s="3">
        <v>10000000</v>
      </c>
      <c r="F37" s="2">
        <v>0.1</v>
      </c>
      <c r="G37" s="8">
        <v>0.08</v>
      </c>
      <c r="H37" s="10">
        <v>1</v>
      </c>
      <c r="I37" s="3">
        <f t="shared" si="54"/>
        <v>10000000</v>
      </c>
      <c r="J37" s="11">
        <v>12</v>
      </c>
      <c r="K37" s="4">
        <f t="shared" si="55"/>
        <v>1250000</v>
      </c>
      <c r="L37" s="4">
        <f t="shared" si="56"/>
        <v>1875000</v>
      </c>
      <c r="M37" s="4">
        <f t="shared" si="81"/>
        <v>0</v>
      </c>
      <c r="N37" s="5">
        <f t="shared" si="58"/>
        <v>8480000</v>
      </c>
      <c r="O37" s="4">
        <f t="shared" si="82"/>
        <v>625000</v>
      </c>
      <c r="P37" s="4">
        <f t="shared" si="50"/>
        <v>9375000</v>
      </c>
      <c r="Q37" s="6">
        <f t="shared" si="60"/>
        <v>-869884.29085421062</v>
      </c>
      <c r="R37" s="12">
        <f t="shared" si="61"/>
        <v>0.20319857599231528</v>
      </c>
      <c r="S37" s="49">
        <f t="shared" si="10"/>
        <v>0.08</v>
      </c>
    </row>
    <row r="38" spans="1:19" ht="18" x14ac:dyDescent="0.45">
      <c r="A38" s="2">
        <v>0.15</v>
      </c>
      <c r="B38" s="9">
        <v>18</v>
      </c>
      <c r="C38" s="2">
        <v>0.122</v>
      </c>
      <c r="D38" s="2">
        <f t="shared" si="79"/>
        <v>0.22499999999999998</v>
      </c>
      <c r="E38" s="3">
        <v>10000000</v>
      </c>
      <c r="F38" s="2">
        <v>0.1</v>
      </c>
      <c r="G38" s="8">
        <v>0.05</v>
      </c>
      <c r="H38" s="10">
        <v>1</v>
      </c>
      <c r="I38" s="3">
        <f t="shared" si="54"/>
        <v>10000000</v>
      </c>
      <c r="J38" s="11">
        <v>12</v>
      </c>
      <c r="K38" s="4">
        <f t="shared" si="55"/>
        <v>1500000</v>
      </c>
      <c r="L38" s="4">
        <f t="shared" si="56"/>
        <v>2250000</v>
      </c>
      <c r="M38" s="4">
        <f t="shared" si="81"/>
        <v>0</v>
      </c>
      <c r="N38" s="5">
        <f t="shared" si="58"/>
        <v>8480000</v>
      </c>
      <c r="O38" s="4">
        <f t="shared" si="82"/>
        <v>750000</v>
      </c>
      <c r="P38" s="4">
        <f t="shared" si="50"/>
        <v>9250000</v>
      </c>
      <c r="Q38" s="6">
        <f t="shared" si="60"/>
        <v>-856074.81788467127</v>
      </c>
      <c r="R38" s="12">
        <f t="shared" si="61"/>
        <v>0.19820520559923321</v>
      </c>
      <c r="S38" s="49">
        <f t="shared" si="10"/>
        <v>0.05</v>
      </c>
    </row>
    <row r="39" spans="1:19" ht="18" x14ac:dyDescent="0.45">
      <c r="A39" s="2">
        <v>0.15</v>
      </c>
      <c r="B39" s="9">
        <v>24</v>
      </c>
      <c r="C39" s="2">
        <v>0.122</v>
      </c>
      <c r="D39" s="2">
        <f t="shared" si="79"/>
        <v>0.3</v>
      </c>
      <c r="E39" s="3">
        <v>10000000</v>
      </c>
      <c r="F39" s="2">
        <v>0.1</v>
      </c>
      <c r="G39" s="8">
        <v>0</v>
      </c>
      <c r="H39" s="10">
        <v>1</v>
      </c>
      <c r="I39" s="3">
        <f t="shared" si="54"/>
        <v>10000000</v>
      </c>
      <c r="J39" s="11">
        <v>12</v>
      </c>
      <c r="K39" s="4">
        <f t="shared" si="55"/>
        <v>2000000</v>
      </c>
      <c r="L39" s="4">
        <f t="shared" si="56"/>
        <v>3000000</v>
      </c>
      <c r="M39" s="4">
        <f t="shared" si="81"/>
        <v>0</v>
      </c>
      <c r="N39" s="5">
        <f t="shared" si="58"/>
        <v>8480000</v>
      </c>
      <c r="O39" s="4">
        <f t="shared" si="82"/>
        <v>1000000</v>
      </c>
      <c r="P39" s="4">
        <f t="shared" si="50"/>
        <v>9000000</v>
      </c>
      <c r="Q39" s="6">
        <f t="shared" si="60"/>
        <v>-833333.33333333337</v>
      </c>
      <c r="R39" s="12">
        <f t="shared" si="61"/>
        <v>0.19912414105706039</v>
      </c>
      <c r="S39" s="49">
        <f t="shared" si="10"/>
        <v>0</v>
      </c>
    </row>
    <row r="40" spans="1:19" ht="18" x14ac:dyDescent="0.45">
      <c r="A40" s="2">
        <v>0.1</v>
      </c>
      <c r="B40" s="9">
        <v>4</v>
      </c>
      <c r="C40" s="2">
        <v>0.122</v>
      </c>
      <c r="D40" s="2">
        <f t="shared" si="79"/>
        <v>3.3333333333333333E-2</v>
      </c>
      <c r="E40" s="3">
        <v>10000000</v>
      </c>
      <c r="F40" s="2">
        <v>0.1</v>
      </c>
      <c r="G40" s="8">
        <v>0.2</v>
      </c>
      <c r="H40" s="10">
        <v>1</v>
      </c>
      <c r="I40" s="3">
        <f>H40*E40</f>
        <v>10000000</v>
      </c>
      <c r="J40" s="11">
        <v>12</v>
      </c>
      <c r="K40" s="4">
        <f t="shared" si="55"/>
        <v>333333.33333333331</v>
      </c>
      <c r="L40" s="4">
        <f t="shared" si="56"/>
        <v>333333.33333333331</v>
      </c>
      <c r="M40" s="4">
        <f t="shared" si="81"/>
        <v>0</v>
      </c>
      <c r="N40" s="5">
        <f t="shared" si="58"/>
        <v>8480000</v>
      </c>
      <c r="O40" s="4">
        <f t="shared" si="82"/>
        <v>0</v>
      </c>
      <c r="P40" s="4">
        <f t="shared" ref="P40:P41" si="83">I40-O40</f>
        <v>10000000</v>
      </c>
      <c r="Q40" s="6">
        <f t="shared" si="60"/>
        <v>-926345.05897080025</v>
      </c>
      <c r="R40" s="12">
        <f t="shared" si="61"/>
        <v>0.20000000000000004</v>
      </c>
      <c r="S40" s="49">
        <f t="shared" si="10"/>
        <v>0.2</v>
      </c>
    </row>
    <row r="41" spans="1:19" ht="18" x14ac:dyDescent="0.45">
      <c r="A41" s="2">
        <v>0.1</v>
      </c>
      <c r="B41" s="9">
        <v>6</v>
      </c>
      <c r="C41" s="2">
        <v>0.122</v>
      </c>
      <c r="D41" s="2">
        <f t="shared" si="79"/>
        <v>5.000000000000001E-2</v>
      </c>
      <c r="E41" s="3">
        <v>10000000</v>
      </c>
      <c r="F41" s="2">
        <v>0.1</v>
      </c>
      <c r="G41" s="8">
        <v>0.2</v>
      </c>
      <c r="H41" s="10">
        <v>1</v>
      </c>
      <c r="I41" s="3">
        <f t="shared" ref="I41" si="84">H41*E41</f>
        <v>10000000</v>
      </c>
      <c r="J41" s="11">
        <v>24</v>
      </c>
      <c r="K41" s="4">
        <f t="shared" si="55"/>
        <v>500000</v>
      </c>
      <c r="L41" s="4">
        <f t="shared" si="56"/>
        <v>500000.00000000012</v>
      </c>
      <c r="M41" s="4">
        <f t="shared" si="81"/>
        <v>0</v>
      </c>
      <c r="N41" s="5">
        <f t="shared" si="58"/>
        <v>8480000</v>
      </c>
      <c r="O41" s="4">
        <f t="shared" si="82"/>
        <v>0</v>
      </c>
      <c r="P41" s="4">
        <f t="shared" si="83"/>
        <v>10000000</v>
      </c>
      <c r="Q41" s="6">
        <f t="shared" si="60"/>
        <v>-508958.02643238893</v>
      </c>
      <c r="R41" s="12">
        <f t="shared" si="61"/>
        <v>0.19999999999999846</v>
      </c>
      <c r="S41" s="49">
        <f t="shared" si="10"/>
        <v>0.2</v>
      </c>
    </row>
  </sheetData>
  <autoFilter ref="A1:R41"/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22"/>
  <sheetViews>
    <sheetView rightToLeft="1" tabSelected="1" topLeftCell="A7" workbookViewId="0">
      <selection activeCell="D20" sqref="D20:D22"/>
    </sheetView>
  </sheetViews>
  <sheetFormatPr defaultRowHeight="14.25" x14ac:dyDescent="0.2"/>
  <cols>
    <col min="1" max="1" width="18.75" customWidth="1"/>
    <col min="2" max="2" width="13.5" customWidth="1"/>
    <col min="3" max="3" width="11.125" customWidth="1"/>
    <col min="4" max="4" width="11.875" customWidth="1"/>
    <col min="5" max="5" width="12.875" customWidth="1"/>
  </cols>
  <sheetData>
    <row r="1" spans="1:5" ht="105" x14ac:dyDescent="0.2">
      <c r="A1" s="99" t="s">
        <v>45</v>
      </c>
      <c r="B1" s="99" t="s">
        <v>73</v>
      </c>
      <c r="C1" s="99" t="s">
        <v>6</v>
      </c>
      <c r="D1" s="99" t="s">
        <v>72</v>
      </c>
      <c r="E1" s="100" t="s">
        <v>74</v>
      </c>
    </row>
    <row r="2" spans="1:5" ht="18" customHeight="1" x14ac:dyDescent="0.2">
      <c r="A2" s="111" t="s">
        <v>70</v>
      </c>
      <c r="B2" s="101">
        <v>1</v>
      </c>
      <c r="C2" s="102">
        <v>0.18</v>
      </c>
      <c r="D2" s="102">
        <v>1</v>
      </c>
      <c r="E2" s="101">
        <v>24</v>
      </c>
    </row>
    <row r="3" spans="1:5" ht="24.75" x14ac:dyDescent="0.2">
      <c r="A3" s="112"/>
      <c r="B3" s="117">
        <v>3</v>
      </c>
      <c r="C3" s="103">
        <v>0.16</v>
      </c>
      <c r="D3" s="103">
        <v>1</v>
      </c>
      <c r="E3" s="104">
        <v>12</v>
      </c>
    </row>
    <row r="4" spans="1:5" ht="24.75" x14ac:dyDescent="0.2">
      <c r="A4" s="112"/>
      <c r="B4" s="118"/>
      <c r="C4" s="103">
        <v>0.17</v>
      </c>
      <c r="D4" s="103">
        <v>0.7</v>
      </c>
      <c r="E4" s="104">
        <v>24</v>
      </c>
    </row>
    <row r="5" spans="1:5" ht="24.75" x14ac:dyDescent="0.2">
      <c r="A5" s="112"/>
      <c r="B5" s="119"/>
      <c r="C5" s="103">
        <v>0.17</v>
      </c>
      <c r="D5" s="103">
        <v>0.5</v>
      </c>
      <c r="E5" s="104">
        <v>36</v>
      </c>
    </row>
    <row r="6" spans="1:5" ht="24.75" x14ac:dyDescent="0.2">
      <c r="A6" s="112"/>
      <c r="B6" s="114">
        <v>6</v>
      </c>
      <c r="C6" s="102">
        <v>0.11</v>
      </c>
      <c r="D6" s="105">
        <v>1</v>
      </c>
      <c r="E6" s="101">
        <v>12</v>
      </c>
    </row>
    <row r="7" spans="1:5" ht="24.75" x14ac:dyDescent="0.2">
      <c r="A7" s="112"/>
      <c r="B7" s="115"/>
      <c r="C7" s="102">
        <v>0.15</v>
      </c>
      <c r="D7" s="106"/>
      <c r="E7" s="101">
        <v>24</v>
      </c>
    </row>
    <row r="8" spans="1:5" ht="24.75" x14ac:dyDescent="0.2">
      <c r="A8" s="112"/>
      <c r="B8" s="116"/>
      <c r="C8" s="102">
        <v>0.16</v>
      </c>
      <c r="D8" s="107"/>
      <c r="E8" s="101">
        <v>36</v>
      </c>
    </row>
    <row r="9" spans="1:5" ht="24.75" x14ac:dyDescent="0.2">
      <c r="A9" s="112"/>
      <c r="B9" s="117">
        <v>9</v>
      </c>
      <c r="C9" s="103">
        <v>0.09</v>
      </c>
      <c r="D9" s="103">
        <v>1.5</v>
      </c>
      <c r="E9" s="104">
        <v>12</v>
      </c>
    </row>
    <row r="10" spans="1:5" ht="24.75" x14ac:dyDescent="0.2">
      <c r="A10" s="112"/>
      <c r="B10" s="118"/>
      <c r="C10" s="103">
        <v>0.11</v>
      </c>
      <c r="D10" s="108">
        <v>1</v>
      </c>
      <c r="E10" s="104">
        <v>24</v>
      </c>
    </row>
    <row r="11" spans="1:5" ht="24.75" x14ac:dyDescent="0.2">
      <c r="A11" s="112"/>
      <c r="B11" s="119"/>
      <c r="C11" s="103">
        <v>0.14000000000000001</v>
      </c>
      <c r="D11" s="109"/>
      <c r="E11" s="104">
        <v>36</v>
      </c>
    </row>
    <row r="12" spans="1:5" ht="24.75" x14ac:dyDescent="0.2">
      <c r="A12" s="112"/>
      <c r="B12" s="114">
        <v>12</v>
      </c>
      <c r="C12" s="102">
        <v>7.0000000000000007E-2</v>
      </c>
      <c r="D12" s="102">
        <v>2</v>
      </c>
      <c r="E12" s="101">
        <v>12</v>
      </c>
    </row>
    <row r="13" spans="1:5" ht="24.75" x14ac:dyDescent="0.2">
      <c r="A13" s="112"/>
      <c r="B13" s="115"/>
      <c r="C13" s="102">
        <v>0.11</v>
      </c>
      <c r="D13" s="102">
        <v>1.5</v>
      </c>
      <c r="E13" s="101">
        <v>24</v>
      </c>
    </row>
    <row r="14" spans="1:5" ht="24.75" x14ac:dyDescent="0.2">
      <c r="A14" s="113"/>
      <c r="B14" s="116"/>
      <c r="C14" s="102">
        <v>0.1</v>
      </c>
      <c r="D14" s="102">
        <v>1</v>
      </c>
      <c r="E14" s="101">
        <v>36</v>
      </c>
    </row>
    <row r="15" spans="1:5" ht="24.75" x14ac:dyDescent="0.2">
      <c r="A15" s="111" t="s">
        <v>71</v>
      </c>
      <c r="B15" s="117">
        <v>6</v>
      </c>
      <c r="C15" s="103">
        <v>0.17</v>
      </c>
      <c r="D15" s="103">
        <v>0.7</v>
      </c>
      <c r="E15" s="104">
        <v>12</v>
      </c>
    </row>
    <row r="16" spans="1:5" ht="24.75" x14ac:dyDescent="0.2">
      <c r="A16" s="112"/>
      <c r="B16" s="119"/>
      <c r="C16" s="103">
        <v>0.18</v>
      </c>
      <c r="D16" s="103">
        <v>0.5</v>
      </c>
      <c r="E16" s="104">
        <v>24</v>
      </c>
    </row>
    <row r="17" spans="1:5" ht="24.75" x14ac:dyDescent="0.2">
      <c r="A17" s="112"/>
      <c r="B17" s="114">
        <v>9</v>
      </c>
      <c r="C17" s="102">
        <v>0.16</v>
      </c>
      <c r="D17" s="102">
        <v>1</v>
      </c>
      <c r="E17" s="101">
        <v>12</v>
      </c>
    </row>
    <row r="18" spans="1:5" ht="24.75" x14ac:dyDescent="0.2">
      <c r="A18" s="112"/>
      <c r="B18" s="115"/>
      <c r="C18" s="102">
        <v>0.17</v>
      </c>
      <c r="D18" s="102">
        <v>0.7</v>
      </c>
      <c r="E18" s="101">
        <v>24</v>
      </c>
    </row>
    <row r="19" spans="1:5" ht="24.75" x14ac:dyDescent="0.2">
      <c r="A19" s="112"/>
      <c r="B19" s="116"/>
      <c r="C19" s="102">
        <v>0.17</v>
      </c>
      <c r="D19" s="102">
        <v>0.5</v>
      </c>
      <c r="E19" s="101">
        <v>36</v>
      </c>
    </row>
    <row r="20" spans="1:5" ht="24.75" x14ac:dyDescent="0.2">
      <c r="A20" s="112"/>
      <c r="B20" s="117">
        <v>12</v>
      </c>
      <c r="C20" s="103">
        <v>0.1</v>
      </c>
      <c r="D20" s="108">
        <v>1</v>
      </c>
      <c r="E20" s="104">
        <v>12</v>
      </c>
    </row>
    <row r="21" spans="1:5" ht="24.75" x14ac:dyDescent="0.2">
      <c r="A21" s="112"/>
      <c r="B21" s="118"/>
      <c r="C21" s="103">
        <v>0.15</v>
      </c>
      <c r="D21" s="110"/>
      <c r="E21" s="104">
        <v>24</v>
      </c>
    </row>
    <row r="22" spans="1:5" ht="24.75" x14ac:dyDescent="0.2">
      <c r="A22" s="113"/>
      <c r="B22" s="119"/>
      <c r="C22" s="103">
        <v>0.16</v>
      </c>
      <c r="D22" s="109"/>
      <c r="E22" s="104">
        <v>36</v>
      </c>
    </row>
  </sheetData>
  <mergeCells count="12">
    <mergeCell ref="D6:D8"/>
    <mergeCell ref="D10:D11"/>
    <mergeCell ref="D20:D22"/>
    <mergeCell ref="A2:A14"/>
    <mergeCell ref="A15:A22"/>
    <mergeCell ref="B6:B8"/>
    <mergeCell ref="B3:B5"/>
    <mergeCell ref="B9:B11"/>
    <mergeCell ref="B12:B14"/>
    <mergeCell ref="B15:B16"/>
    <mergeCell ref="B17:B19"/>
    <mergeCell ref="B20:B22"/>
  </mergeCells>
  <pageMargins left="0.7" right="0.7" top="0.75" bottom="0.75" header="0.3" footer="0.3"/>
  <pageSetup paperSize="9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rightToLeft="1" topLeftCell="A13" workbookViewId="0">
      <selection activeCell="A16" sqref="A16"/>
    </sheetView>
  </sheetViews>
  <sheetFormatPr defaultRowHeight="14.25" x14ac:dyDescent="0.2"/>
  <cols>
    <col min="3" max="3" width="8.375" bestFit="1" customWidth="1"/>
    <col min="4" max="4" width="35" bestFit="1" customWidth="1"/>
    <col min="5" max="5" width="15.875" customWidth="1"/>
    <col min="6" max="6" width="20.75" customWidth="1"/>
    <col min="7" max="7" width="19.125" customWidth="1"/>
  </cols>
  <sheetData>
    <row r="1" spans="1:7" ht="55.5" customHeight="1" x14ac:dyDescent="0.2">
      <c r="A1" s="50" t="s">
        <v>45</v>
      </c>
      <c r="B1" s="51" t="s">
        <v>46</v>
      </c>
      <c r="C1" s="50" t="s">
        <v>66</v>
      </c>
      <c r="D1" s="50" t="s">
        <v>48</v>
      </c>
      <c r="E1" s="50" t="s">
        <v>6</v>
      </c>
      <c r="F1" s="51" t="s">
        <v>49</v>
      </c>
      <c r="G1" s="51" t="s">
        <v>50</v>
      </c>
    </row>
    <row r="2" spans="1:7" ht="16.5" thickBot="1" x14ac:dyDescent="0.25">
      <c r="A2" s="52"/>
      <c r="B2" s="53" t="s">
        <v>47</v>
      </c>
      <c r="C2" s="52"/>
      <c r="D2" s="52"/>
      <c r="E2" s="52"/>
      <c r="F2" s="53" t="s">
        <v>8</v>
      </c>
      <c r="G2" s="54" t="s">
        <v>51</v>
      </c>
    </row>
    <row r="3" spans="1:7" ht="31.5" customHeight="1" thickBot="1" x14ac:dyDescent="0.25">
      <c r="A3" s="55" t="s">
        <v>67</v>
      </c>
      <c r="B3" s="56" t="s">
        <v>52</v>
      </c>
      <c r="C3" s="57" t="s">
        <v>53</v>
      </c>
      <c r="D3" s="58" t="s">
        <v>68</v>
      </c>
      <c r="E3" s="59">
        <v>0.18</v>
      </c>
      <c r="F3" s="57" t="s">
        <v>64</v>
      </c>
      <c r="G3" s="56" t="s">
        <v>54</v>
      </c>
    </row>
    <row r="4" spans="1:7" ht="32.25" thickBot="1" x14ac:dyDescent="0.25">
      <c r="A4" s="60"/>
      <c r="B4" s="61"/>
      <c r="C4" s="57" t="s">
        <v>55</v>
      </c>
      <c r="D4" s="62"/>
      <c r="E4" s="63"/>
      <c r="F4" s="57" t="s">
        <v>36</v>
      </c>
      <c r="G4" s="64"/>
    </row>
    <row r="5" spans="1:7" ht="32.25" thickBot="1" x14ac:dyDescent="0.25">
      <c r="A5" s="60"/>
      <c r="B5" s="65" t="s">
        <v>56</v>
      </c>
      <c r="C5" s="65" t="s">
        <v>53</v>
      </c>
      <c r="D5" s="62"/>
      <c r="E5" s="66">
        <v>0.16</v>
      </c>
      <c r="F5" s="65" t="s">
        <v>36</v>
      </c>
      <c r="G5" s="64"/>
    </row>
    <row r="6" spans="1:7" ht="32.25" thickBot="1" x14ac:dyDescent="0.25">
      <c r="A6" s="60"/>
      <c r="B6" s="67" t="s">
        <v>57</v>
      </c>
      <c r="C6" s="68" t="s">
        <v>53</v>
      </c>
      <c r="D6" s="62"/>
      <c r="E6" s="69">
        <v>0.15</v>
      </c>
      <c r="F6" s="68" t="s">
        <v>36</v>
      </c>
      <c r="G6" s="64"/>
    </row>
    <row r="7" spans="1:7" ht="32.25" thickBot="1" x14ac:dyDescent="0.25">
      <c r="A7" s="60"/>
      <c r="B7" s="70"/>
      <c r="C7" s="68" t="s">
        <v>53</v>
      </c>
      <c r="D7" s="62"/>
      <c r="E7" s="69">
        <v>0.13</v>
      </c>
      <c r="F7" s="68" t="s">
        <v>26</v>
      </c>
      <c r="G7" s="64"/>
    </row>
    <row r="8" spans="1:7" ht="32.25" thickBot="1" x14ac:dyDescent="0.25">
      <c r="A8" s="60"/>
      <c r="B8" s="71"/>
      <c r="C8" s="68" t="s">
        <v>58</v>
      </c>
      <c r="D8" s="62"/>
      <c r="E8" s="69">
        <v>0.1</v>
      </c>
      <c r="F8" s="68" t="s">
        <v>26</v>
      </c>
      <c r="G8" s="64"/>
    </row>
    <row r="9" spans="1:7" ht="32.25" thickBot="1" x14ac:dyDescent="0.25">
      <c r="A9" s="60"/>
      <c r="B9" s="72" t="s">
        <v>59</v>
      </c>
      <c r="C9" s="73" t="s">
        <v>60</v>
      </c>
      <c r="D9" s="62"/>
      <c r="E9" s="74">
        <v>0.1</v>
      </c>
      <c r="F9" s="73" t="s">
        <v>36</v>
      </c>
      <c r="G9" s="64"/>
    </row>
    <row r="10" spans="1:7" ht="32.25" thickBot="1" x14ac:dyDescent="0.25">
      <c r="A10" s="60"/>
      <c r="B10" s="75"/>
      <c r="C10" s="73" t="s">
        <v>53</v>
      </c>
      <c r="D10" s="62"/>
      <c r="E10" s="76"/>
      <c r="F10" s="73" t="s">
        <v>26</v>
      </c>
      <c r="G10" s="64"/>
    </row>
    <row r="11" spans="1:7" ht="32.25" thickBot="1" x14ac:dyDescent="0.25">
      <c r="A11" s="60"/>
      <c r="B11" s="77" t="s">
        <v>61</v>
      </c>
      <c r="C11" s="65" t="s">
        <v>53</v>
      </c>
      <c r="D11" s="62"/>
      <c r="E11" s="78">
        <v>0.13</v>
      </c>
      <c r="F11" s="65" t="s">
        <v>36</v>
      </c>
      <c r="G11" s="64"/>
    </row>
    <row r="12" spans="1:7" ht="32.25" thickBot="1" x14ac:dyDescent="0.25">
      <c r="A12" s="60"/>
      <c r="B12" s="79"/>
      <c r="C12" s="65" t="s">
        <v>62</v>
      </c>
      <c r="D12" s="62"/>
      <c r="E12" s="80"/>
      <c r="F12" s="65" t="s">
        <v>26</v>
      </c>
      <c r="G12" s="64"/>
    </row>
    <row r="13" spans="1:7" ht="32.25" thickBot="1" x14ac:dyDescent="0.25">
      <c r="A13" s="60"/>
      <c r="B13" s="81" t="s">
        <v>63</v>
      </c>
      <c r="C13" s="81" t="s">
        <v>53</v>
      </c>
      <c r="D13" s="62"/>
      <c r="E13" s="82">
        <v>0.06</v>
      </c>
      <c r="F13" s="83" t="s">
        <v>36</v>
      </c>
      <c r="G13" s="64"/>
    </row>
    <row r="14" spans="1:7" ht="16.5" thickBot="1" x14ac:dyDescent="0.25">
      <c r="A14" s="84"/>
      <c r="B14" s="85"/>
      <c r="C14" s="85"/>
      <c r="D14" s="62"/>
      <c r="E14" s="82">
        <v>0.1</v>
      </c>
      <c r="F14" s="83" t="s">
        <v>64</v>
      </c>
      <c r="G14" s="64"/>
    </row>
    <row r="15" spans="1:7" ht="62.25" customHeight="1" thickBot="1" x14ac:dyDescent="0.25">
      <c r="A15" s="55" t="s">
        <v>69</v>
      </c>
      <c r="B15" s="56" t="s">
        <v>57</v>
      </c>
      <c r="C15" s="57" t="s">
        <v>58</v>
      </c>
      <c r="D15" s="62"/>
      <c r="E15" s="86">
        <v>0.14499999999999999</v>
      </c>
      <c r="F15" s="56" t="s">
        <v>65</v>
      </c>
      <c r="G15" s="64"/>
    </row>
    <row r="16" spans="1:7" ht="32.25" thickBot="1" x14ac:dyDescent="0.25">
      <c r="A16" s="60"/>
      <c r="B16" s="61"/>
      <c r="C16" s="57" t="s">
        <v>53</v>
      </c>
      <c r="D16" s="62"/>
      <c r="E16" s="86">
        <v>0.155</v>
      </c>
      <c r="F16" s="61"/>
      <c r="G16" s="64"/>
    </row>
    <row r="17" spans="1:7" ht="32.25" thickBot="1" x14ac:dyDescent="0.25">
      <c r="A17" s="60"/>
      <c r="B17" s="87" t="s">
        <v>59</v>
      </c>
      <c r="C17" s="88" t="s">
        <v>60</v>
      </c>
      <c r="D17" s="62"/>
      <c r="E17" s="89">
        <v>0.13</v>
      </c>
      <c r="F17" s="88" t="s">
        <v>36</v>
      </c>
      <c r="G17" s="64"/>
    </row>
    <row r="18" spans="1:7" ht="32.25" thickBot="1" x14ac:dyDescent="0.25">
      <c r="A18" s="60"/>
      <c r="B18" s="90"/>
      <c r="C18" s="88" t="s">
        <v>53</v>
      </c>
      <c r="D18" s="62"/>
      <c r="E18" s="91"/>
      <c r="F18" s="88" t="s">
        <v>65</v>
      </c>
      <c r="G18" s="64"/>
    </row>
    <row r="19" spans="1:7" ht="32.25" thickBot="1" x14ac:dyDescent="0.25">
      <c r="A19" s="60"/>
      <c r="B19" s="92" t="s">
        <v>61</v>
      </c>
      <c r="C19" s="93" t="s">
        <v>53</v>
      </c>
      <c r="D19" s="62"/>
      <c r="E19" s="94">
        <v>0.14499999999999999</v>
      </c>
      <c r="F19" s="93" t="s">
        <v>36</v>
      </c>
      <c r="G19" s="64"/>
    </row>
    <row r="20" spans="1:7" ht="32.25" thickBot="1" x14ac:dyDescent="0.25">
      <c r="A20" s="60"/>
      <c r="B20" s="95"/>
      <c r="C20" s="93" t="s">
        <v>62</v>
      </c>
      <c r="D20" s="62"/>
      <c r="E20" s="96"/>
      <c r="F20" s="93" t="s">
        <v>26</v>
      </c>
      <c r="G20" s="64"/>
    </row>
    <row r="21" spans="1:7" ht="32.25" thickBot="1" x14ac:dyDescent="0.25">
      <c r="A21" s="60"/>
      <c r="B21" s="81" t="s">
        <v>63</v>
      </c>
      <c r="C21" s="81" t="s">
        <v>53</v>
      </c>
      <c r="D21" s="62"/>
      <c r="E21" s="82">
        <v>0.12</v>
      </c>
      <c r="F21" s="83" t="s">
        <v>36</v>
      </c>
      <c r="G21" s="64"/>
    </row>
    <row r="22" spans="1:7" ht="16.5" thickBot="1" x14ac:dyDescent="0.25">
      <c r="A22" s="84"/>
      <c r="B22" s="85"/>
      <c r="C22" s="85"/>
      <c r="D22" s="97"/>
      <c r="E22" s="98">
        <v>0.14499999999999999</v>
      </c>
      <c r="F22" s="83" t="s">
        <v>64</v>
      </c>
      <c r="G22" s="61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3"/>
  <sheetViews>
    <sheetView rightToLeft="1" topLeftCell="A19" zoomScale="80" zoomScaleNormal="80" workbookViewId="0">
      <selection activeCell="J2" sqref="J2"/>
    </sheetView>
  </sheetViews>
  <sheetFormatPr defaultRowHeight="14.25" x14ac:dyDescent="0.2"/>
  <cols>
    <col min="5" max="5" width="10.125" bestFit="1" customWidth="1"/>
    <col min="9" max="9" width="10.125" bestFit="1" customWidth="1"/>
    <col min="11" max="11" width="10.625" bestFit="1" customWidth="1"/>
    <col min="13" max="13" width="10.75" bestFit="1" customWidth="1"/>
    <col min="14" max="14" width="11.25" bestFit="1" customWidth="1"/>
    <col min="16" max="16" width="12.625" bestFit="1" customWidth="1"/>
    <col min="17" max="17" width="9.625" bestFit="1" customWidth="1"/>
    <col min="18" max="18" width="10.125" bestFit="1" customWidth="1"/>
    <col min="19" max="19" width="13.75" bestFit="1" customWidth="1"/>
  </cols>
  <sheetData>
    <row r="1" spans="1:20" ht="54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7</v>
      </c>
      <c r="J1" s="1" t="s">
        <v>8</v>
      </c>
      <c r="K1" s="1" t="s">
        <v>12</v>
      </c>
      <c r="L1" s="1" t="s">
        <v>17</v>
      </c>
      <c r="M1" s="1" t="s">
        <v>18</v>
      </c>
      <c r="N1" s="1" t="s">
        <v>11</v>
      </c>
      <c r="O1" s="1" t="s">
        <v>15</v>
      </c>
      <c r="P1" s="1" t="s">
        <v>10</v>
      </c>
      <c r="Q1" s="1" t="s">
        <v>13</v>
      </c>
      <c r="R1" s="1" t="s">
        <v>14</v>
      </c>
      <c r="S1" s="2">
        <v>0</v>
      </c>
      <c r="T1" s="1" t="s">
        <v>16</v>
      </c>
    </row>
    <row r="2" spans="1:20" ht="18" x14ac:dyDescent="0.45">
      <c r="A2" s="2">
        <v>0.1</v>
      </c>
      <c r="B2" s="9">
        <v>6</v>
      </c>
      <c r="C2" s="2">
        <v>0.122</v>
      </c>
      <c r="D2" s="2">
        <f>B2*A2/12</f>
        <v>5.000000000000001E-2</v>
      </c>
      <c r="E2" s="3">
        <v>10000000</v>
      </c>
      <c r="F2" s="2">
        <v>1E-4</v>
      </c>
      <c r="G2" s="8">
        <v>0.15</v>
      </c>
      <c r="H2" s="10">
        <v>1</v>
      </c>
      <c r="I2" s="3">
        <f>H2*E2</f>
        <v>10000000</v>
      </c>
      <c r="J2" s="11">
        <v>15</v>
      </c>
      <c r="K2" s="4">
        <f>E2*F2*B2/12</f>
        <v>500</v>
      </c>
      <c r="L2" s="7">
        <v>0</v>
      </c>
      <c r="M2" s="4">
        <f>+I2*L2*J2*0.15/12</f>
        <v>0</v>
      </c>
      <c r="N2" s="4">
        <f>E2*D2+O2</f>
        <v>500000.00000000012</v>
      </c>
      <c r="O2" s="4">
        <f>I2*$S$1</f>
        <v>0</v>
      </c>
      <c r="P2" s="5">
        <f>E2*(1-C2-0.03)</f>
        <v>8480000</v>
      </c>
      <c r="Q2" s="4">
        <f>N2-K2</f>
        <v>499500.00000000012</v>
      </c>
      <c r="R2" s="4">
        <f t="shared" ref="R2:R22" si="0">I2-Q2</f>
        <v>9500500</v>
      </c>
      <c r="S2" s="6">
        <f>PMT(G2/12,J2,I2)</f>
        <v>-735264.60302280635</v>
      </c>
      <c r="T2" s="12">
        <f>RATE(J2,S2,R2,-M2,,0.18)*12</f>
        <v>0.23105643115967076</v>
      </c>
    </row>
    <row r="3" spans="1:20" ht="18" x14ac:dyDescent="0.45">
      <c r="A3" s="2">
        <v>0.1</v>
      </c>
      <c r="B3" s="9">
        <v>2</v>
      </c>
      <c r="C3" s="2">
        <v>0.122</v>
      </c>
      <c r="D3" s="2">
        <f>B3*A3/12</f>
        <v>1.6666666666666666E-2</v>
      </c>
      <c r="E3" s="3">
        <v>10000000</v>
      </c>
      <c r="F3" s="2">
        <v>1E-4</v>
      </c>
      <c r="G3" s="8">
        <v>0.18</v>
      </c>
      <c r="H3" s="10">
        <v>1</v>
      </c>
      <c r="I3" s="3">
        <f t="shared" ref="I3:I17" si="1">H3*E3</f>
        <v>10000000</v>
      </c>
      <c r="J3" s="11">
        <v>8</v>
      </c>
      <c r="K3" s="4">
        <f t="shared" ref="K3:K22" si="2">E3*F3*B3/12</f>
        <v>166.66666666666666</v>
      </c>
      <c r="L3" s="7">
        <v>0</v>
      </c>
      <c r="M3" s="4">
        <f>+I3*L3*F3/12</f>
        <v>0</v>
      </c>
      <c r="N3" s="4">
        <f>E3*D3+O3</f>
        <v>166666.66666666666</v>
      </c>
      <c r="O3" s="4">
        <f t="shared" ref="O3:O22" si="3">I3*$S$1</f>
        <v>0</v>
      </c>
      <c r="P3" s="5">
        <f t="shared" ref="P3:P22" si="4">E3*(1-C3-0.03)</f>
        <v>8480000</v>
      </c>
      <c r="Q3" s="4">
        <f>N3-K3</f>
        <v>166500</v>
      </c>
      <c r="R3" s="4">
        <f>I3-Q3-(L3)*I3*0.85</f>
        <v>9833500</v>
      </c>
      <c r="S3" s="6">
        <f>PMT(G3/12,J3,I3)+M3</f>
        <v>-1335840.2459576649</v>
      </c>
      <c r="T3" s="12">
        <f>RATE(J3,S3,R3,0.85*L3*I3,,0.18)*12</f>
        <v>0.22644148531154484</v>
      </c>
    </row>
    <row r="4" spans="1:20" ht="18" x14ac:dyDescent="0.45">
      <c r="A4" s="2">
        <v>0.1</v>
      </c>
      <c r="B4" s="9">
        <v>2</v>
      </c>
      <c r="C4" s="2">
        <v>0.122</v>
      </c>
      <c r="D4" s="2">
        <f t="shared" ref="D4:D6" si="5">B4*A4/12</f>
        <v>1.6666666666666666E-2</v>
      </c>
      <c r="E4" s="3">
        <v>10000000</v>
      </c>
      <c r="F4" s="2">
        <v>1E-4</v>
      </c>
      <c r="G4" s="19">
        <v>0.18</v>
      </c>
      <c r="H4" s="10">
        <v>1</v>
      </c>
      <c r="I4" s="3">
        <f t="shared" ref="I4:I6" si="6">H4*E4</f>
        <v>10000000</v>
      </c>
      <c r="J4" s="11">
        <v>18</v>
      </c>
      <c r="K4" s="4">
        <f t="shared" ref="K4:K6" si="7">E4*F4*B4/12</f>
        <v>166.66666666666666</v>
      </c>
      <c r="L4" s="7">
        <v>0.1</v>
      </c>
      <c r="M4" s="4">
        <f t="shared" ref="M4:M6" si="8">+I4*L4*J4*0.15/12</f>
        <v>225000</v>
      </c>
      <c r="N4" s="4">
        <f t="shared" ref="N4:N6" si="9">E4*D4+O4</f>
        <v>166666.66666666666</v>
      </c>
      <c r="O4" s="4">
        <f t="shared" ref="O4:O6" si="10">I4*$S$1</f>
        <v>0</v>
      </c>
      <c r="P4" s="5">
        <f t="shared" ref="P4:P6" si="11">E4*(1-C4-0.03)</f>
        <v>8480000</v>
      </c>
      <c r="Q4" s="4">
        <f t="shared" ref="Q4:Q6" si="12">N4-K4</f>
        <v>166500</v>
      </c>
      <c r="R4" s="4">
        <f t="shared" ref="R4:R6" si="13">I4-Q4</f>
        <v>9833500</v>
      </c>
      <c r="S4" s="6">
        <f t="shared" ref="S4:S6" si="14">PMT(G4/12,J4,I4)</f>
        <v>-638057.81765213003</v>
      </c>
      <c r="T4" s="12">
        <f t="shared" ref="T4:T6" si="15">RATE(J4,S4,R4,-M4,,0.18)*12</f>
        <v>0.22490556476984055</v>
      </c>
    </row>
    <row r="5" spans="1:20" ht="18" x14ac:dyDescent="0.45">
      <c r="A5" s="2">
        <v>0.1</v>
      </c>
      <c r="B5" s="9">
        <v>2</v>
      </c>
      <c r="C5" s="2">
        <v>0.122</v>
      </c>
      <c r="D5" s="2">
        <f t="shared" si="5"/>
        <v>1.6666666666666666E-2</v>
      </c>
      <c r="E5" s="3">
        <v>10000000</v>
      </c>
      <c r="F5" s="2">
        <v>1E-4</v>
      </c>
      <c r="G5" s="19">
        <v>0.17</v>
      </c>
      <c r="H5" s="10">
        <v>1</v>
      </c>
      <c r="I5" s="3">
        <f t="shared" si="6"/>
        <v>10000000</v>
      </c>
      <c r="J5" s="11">
        <v>12</v>
      </c>
      <c r="K5" s="4">
        <f t="shared" si="7"/>
        <v>166.66666666666666</v>
      </c>
      <c r="L5" s="7">
        <v>0.1</v>
      </c>
      <c r="M5" s="4">
        <f t="shared" si="8"/>
        <v>150000</v>
      </c>
      <c r="N5" s="4">
        <f t="shared" si="9"/>
        <v>166666.66666666666</v>
      </c>
      <c r="O5" s="4">
        <f t="shared" si="10"/>
        <v>0</v>
      </c>
      <c r="P5" s="5">
        <f t="shared" si="11"/>
        <v>8480000</v>
      </c>
      <c r="Q5" s="4">
        <f t="shared" si="12"/>
        <v>166500</v>
      </c>
      <c r="R5" s="4">
        <f t="shared" si="13"/>
        <v>9833500</v>
      </c>
      <c r="S5" s="6">
        <f t="shared" si="14"/>
        <v>-912047.52078376675</v>
      </c>
      <c r="T5" s="12">
        <f t="shared" si="15"/>
        <v>0.22621439645618263</v>
      </c>
    </row>
    <row r="6" spans="1:20" ht="18" x14ac:dyDescent="0.45">
      <c r="A6" s="2">
        <v>0.1</v>
      </c>
      <c r="B6" s="9">
        <v>2</v>
      </c>
      <c r="C6" s="2">
        <v>0.122</v>
      </c>
      <c r="D6" s="2">
        <f t="shared" si="5"/>
        <v>1.6666666666666666E-2</v>
      </c>
      <c r="E6" s="3">
        <v>10000000</v>
      </c>
      <c r="F6" s="2">
        <v>1E-4</v>
      </c>
      <c r="G6" s="19">
        <v>0.18</v>
      </c>
      <c r="H6" s="10">
        <v>0.5</v>
      </c>
      <c r="I6" s="3">
        <f t="shared" si="6"/>
        <v>5000000</v>
      </c>
      <c r="J6" s="30">
        <v>18</v>
      </c>
      <c r="K6" s="4">
        <f t="shared" si="7"/>
        <v>166.66666666666666</v>
      </c>
      <c r="L6" s="7">
        <v>0</v>
      </c>
      <c r="M6" s="4">
        <f t="shared" si="8"/>
        <v>0</v>
      </c>
      <c r="N6" s="4">
        <f t="shared" si="9"/>
        <v>166666.66666666666</v>
      </c>
      <c r="O6" s="4">
        <f t="shared" si="10"/>
        <v>0</v>
      </c>
      <c r="P6" s="5">
        <f t="shared" si="11"/>
        <v>8480000</v>
      </c>
      <c r="Q6" s="4">
        <f t="shared" si="12"/>
        <v>166500</v>
      </c>
      <c r="R6" s="4">
        <f t="shared" si="13"/>
        <v>4833500</v>
      </c>
      <c r="S6" s="6">
        <f t="shared" si="14"/>
        <v>-319028.90882606502</v>
      </c>
      <c r="T6" s="12">
        <f t="shared" si="15"/>
        <v>0.22566775038317438</v>
      </c>
    </row>
    <row r="7" spans="1:20" ht="18" x14ac:dyDescent="0.45">
      <c r="A7" s="2">
        <v>0.1</v>
      </c>
      <c r="B7" s="9">
        <v>6</v>
      </c>
      <c r="C7" s="2">
        <v>0.122</v>
      </c>
      <c r="D7" s="2">
        <f t="shared" ref="D7:D22" si="16">B7*A7/12</f>
        <v>5.000000000000001E-2</v>
      </c>
      <c r="E7" s="3">
        <v>10000000</v>
      </c>
      <c r="F7" s="2">
        <v>1E-4</v>
      </c>
      <c r="G7" s="19">
        <v>0.1</v>
      </c>
      <c r="H7" s="10">
        <v>0.8</v>
      </c>
      <c r="I7" s="3">
        <f t="shared" si="1"/>
        <v>8000000</v>
      </c>
      <c r="J7" s="11">
        <v>12</v>
      </c>
      <c r="K7" s="4">
        <f t="shared" si="2"/>
        <v>500</v>
      </c>
      <c r="L7" s="7">
        <v>0</v>
      </c>
      <c r="M7" s="4">
        <f t="shared" ref="M7:M22" si="17">+I7*L7*J7*0.15/12</f>
        <v>0</v>
      </c>
      <c r="N7" s="4">
        <f t="shared" ref="N7:N22" si="18">E7*D7+O7</f>
        <v>500000.00000000012</v>
      </c>
      <c r="O7" s="4">
        <f t="shared" si="3"/>
        <v>0</v>
      </c>
      <c r="P7" s="5">
        <f t="shared" si="4"/>
        <v>8480000</v>
      </c>
      <c r="Q7" s="4">
        <f t="shared" ref="Q7:Q8" si="19">N7-K7</f>
        <v>499500.00000000012</v>
      </c>
      <c r="R7" s="4">
        <f t="shared" si="0"/>
        <v>7500500</v>
      </c>
      <c r="S7" s="6">
        <f t="shared" ref="S7:S22" si="20">PMT(G7/12,J7,I7)</f>
        <v>-703327.09784007678</v>
      </c>
      <c r="T7" s="12">
        <f t="shared" ref="T7:T22" si="21">RATE(J7,S7,R7,-M7,,0.18)*12</f>
        <v>0.22366165151842818</v>
      </c>
    </row>
    <row r="8" spans="1:20" s="29" customFormat="1" ht="18" x14ac:dyDescent="0.45">
      <c r="A8" s="20">
        <v>0.1</v>
      </c>
      <c r="B8" s="21">
        <v>4</v>
      </c>
      <c r="C8" s="20">
        <v>0.122</v>
      </c>
      <c r="D8" s="20">
        <f t="shared" si="16"/>
        <v>3.3333333333333333E-2</v>
      </c>
      <c r="E8" s="21">
        <v>10000000</v>
      </c>
      <c r="F8" s="20">
        <v>0.1</v>
      </c>
      <c r="G8" s="22">
        <v>0.18</v>
      </c>
      <c r="H8" s="23">
        <v>1</v>
      </c>
      <c r="I8" s="21">
        <f t="shared" si="1"/>
        <v>10000000</v>
      </c>
      <c r="J8" s="24">
        <v>8</v>
      </c>
      <c r="K8" s="25">
        <f t="shared" si="2"/>
        <v>333333.33333333331</v>
      </c>
      <c r="L8" s="22">
        <v>0</v>
      </c>
      <c r="M8" s="25">
        <f t="shared" si="17"/>
        <v>0</v>
      </c>
      <c r="N8" s="25">
        <f t="shared" si="18"/>
        <v>333333.33333333331</v>
      </c>
      <c r="O8" s="25">
        <f t="shared" si="3"/>
        <v>0</v>
      </c>
      <c r="P8" s="26">
        <f t="shared" si="4"/>
        <v>8480000</v>
      </c>
      <c r="Q8" s="25">
        <f t="shared" si="19"/>
        <v>0</v>
      </c>
      <c r="R8" s="25">
        <f t="shared" si="0"/>
        <v>10000000</v>
      </c>
      <c r="S8" s="27">
        <f t="shared" si="20"/>
        <v>-1335840.2459576649</v>
      </c>
      <c r="T8" s="28">
        <f t="shared" si="21"/>
        <v>0.18000000000002475</v>
      </c>
    </row>
    <row r="9" spans="1:20" ht="18" x14ac:dyDescent="0.45">
      <c r="A9" s="2">
        <v>0.15</v>
      </c>
      <c r="B9" s="9">
        <v>12</v>
      </c>
      <c r="C9" s="2">
        <v>0.122</v>
      </c>
      <c r="D9" s="2">
        <f t="shared" si="16"/>
        <v>0.15</v>
      </c>
      <c r="E9" s="3">
        <v>10000000</v>
      </c>
      <c r="F9" s="2">
        <v>0.1</v>
      </c>
      <c r="G9" s="8">
        <v>0.18</v>
      </c>
      <c r="H9" s="10">
        <v>1</v>
      </c>
      <c r="I9" s="3">
        <f t="shared" si="1"/>
        <v>10000000</v>
      </c>
      <c r="J9" s="30">
        <v>30</v>
      </c>
      <c r="K9" s="4">
        <f t="shared" si="2"/>
        <v>1000000</v>
      </c>
      <c r="L9" s="7">
        <v>0</v>
      </c>
      <c r="M9" s="4">
        <f t="shared" si="17"/>
        <v>0</v>
      </c>
      <c r="N9" s="4">
        <f t="shared" si="18"/>
        <v>1500000</v>
      </c>
      <c r="O9" s="4">
        <f t="shared" si="3"/>
        <v>0</v>
      </c>
      <c r="P9" s="5">
        <f t="shared" si="4"/>
        <v>8480000</v>
      </c>
      <c r="Q9" s="4">
        <f>N9-K9</f>
        <v>500000</v>
      </c>
      <c r="R9" s="4">
        <f t="shared" si="0"/>
        <v>9500000</v>
      </c>
      <c r="S9" s="6">
        <f t="shared" si="20"/>
        <v>-416391.88261530473</v>
      </c>
      <c r="T9" s="12">
        <f t="shared" si="21"/>
        <v>0.22390562894287272</v>
      </c>
    </row>
    <row r="10" spans="1:20" s="29" customFormat="1" ht="18" x14ac:dyDescent="0.45">
      <c r="A10" s="20">
        <v>0.1</v>
      </c>
      <c r="B10" s="21">
        <v>6</v>
      </c>
      <c r="C10" s="20">
        <v>0.122</v>
      </c>
      <c r="D10" s="20">
        <f>B10*A10/12</f>
        <v>5.000000000000001E-2</v>
      </c>
      <c r="E10" s="21">
        <v>10000000</v>
      </c>
      <c r="F10" s="20">
        <v>0.1</v>
      </c>
      <c r="G10" s="22">
        <v>0.18</v>
      </c>
      <c r="H10" s="23">
        <v>0.9</v>
      </c>
      <c r="I10" s="21">
        <f t="shared" si="1"/>
        <v>9000000</v>
      </c>
      <c r="J10" s="24">
        <v>18</v>
      </c>
      <c r="K10" s="25">
        <f t="shared" si="2"/>
        <v>500000</v>
      </c>
      <c r="L10" s="22">
        <v>0</v>
      </c>
      <c r="M10" s="25">
        <f>+I10*L10*J10*0.15/12</f>
        <v>0</v>
      </c>
      <c r="N10" s="25">
        <f>E10*D10+O10</f>
        <v>500000.00000000012</v>
      </c>
      <c r="O10" s="25">
        <f t="shared" si="3"/>
        <v>0</v>
      </c>
      <c r="P10" s="26">
        <f t="shared" si="4"/>
        <v>8480000</v>
      </c>
      <c r="Q10" s="25">
        <f>N10-K10</f>
        <v>0</v>
      </c>
      <c r="R10" s="25">
        <f t="shared" si="0"/>
        <v>9000000</v>
      </c>
      <c r="S10" s="27">
        <f t="shared" si="20"/>
        <v>-574252.03588691715</v>
      </c>
      <c r="T10" s="28">
        <f t="shared" si="21"/>
        <v>0.17999999999999722</v>
      </c>
    </row>
    <row r="11" spans="1:20" s="18" customFormat="1" ht="18" x14ac:dyDescent="0.45">
      <c r="A11" s="13">
        <v>0.15</v>
      </c>
      <c r="B11" s="9">
        <v>0</v>
      </c>
      <c r="C11" s="13">
        <v>0.122</v>
      </c>
      <c r="D11" s="13">
        <f t="shared" ref="D11:D13" si="22">B11*A11/12</f>
        <v>0</v>
      </c>
      <c r="E11" s="9">
        <v>10000000</v>
      </c>
      <c r="F11" s="13">
        <v>0</v>
      </c>
      <c r="G11" s="8">
        <v>0</v>
      </c>
      <c r="H11" s="10">
        <v>1</v>
      </c>
      <c r="I11" s="9">
        <f t="shared" ref="I11:I13" si="23">H11*E11</f>
        <v>10000000</v>
      </c>
      <c r="J11" s="11">
        <v>24</v>
      </c>
      <c r="K11" s="14">
        <f t="shared" ref="K11:K13" si="24">E11*F11*B11/12</f>
        <v>0</v>
      </c>
      <c r="L11" s="8">
        <v>0</v>
      </c>
      <c r="M11" s="14">
        <f t="shared" ref="M11:M13" si="25">+I11*L11*J11*0.15/12</f>
        <v>0</v>
      </c>
      <c r="N11" s="14">
        <f t="shared" ref="N11:N13" si="26">E11*D11+O11</f>
        <v>0</v>
      </c>
      <c r="O11" s="14">
        <f t="shared" ref="O11:O13" si="27">I11*$S$1</f>
        <v>0</v>
      </c>
      <c r="P11" s="15">
        <f t="shared" ref="P11:P13" si="28">E11*(1-C11-0.03)</f>
        <v>8480000</v>
      </c>
      <c r="Q11" s="14">
        <f t="shared" ref="Q11:Q13" si="29">N11-K11</f>
        <v>0</v>
      </c>
      <c r="R11" s="14">
        <f t="shared" ref="R11:R13" si="30">I11-Q11</f>
        <v>10000000</v>
      </c>
      <c r="S11" s="16">
        <f t="shared" ref="S11:S13" si="31">PMT(G11/12,J11,I11)</f>
        <v>-416666.66666666669</v>
      </c>
      <c r="T11" s="17">
        <f t="shared" ref="T11:T13" si="32">RATE(J11,S11,R11,-M11,,0.18)*12</f>
        <v>1.3190472477131514E-8</v>
      </c>
    </row>
    <row r="12" spans="1:20" ht="18" x14ac:dyDescent="0.45">
      <c r="A12" s="2">
        <v>0.15</v>
      </c>
      <c r="B12" s="9">
        <v>18</v>
      </c>
      <c r="C12" s="2">
        <v>0.122</v>
      </c>
      <c r="D12" s="2">
        <f t="shared" si="22"/>
        <v>0.22499999999999998</v>
      </c>
      <c r="E12" s="3">
        <v>10000000</v>
      </c>
      <c r="F12" s="2">
        <v>0</v>
      </c>
      <c r="G12" s="8">
        <v>4.0087262500746047E-2</v>
      </c>
      <c r="H12" s="10">
        <v>1.5</v>
      </c>
      <c r="I12" s="3">
        <f t="shared" si="23"/>
        <v>15000000</v>
      </c>
      <c r="J12" s="11">
        <v>24</v>
      </c>
      <c r="K12" s="4">
        <f t="shared" si="24"/>
        <v>0</v>
      </c>
      <c r="L12" s="7">
        <v>0.1</v>
      </c>
      <c r="M12" s="4">
        <f t="shared" si="25"/>
        <v>450000</v>
      </c>
      <c r="N12" s="4">
        <f t="shared" si="26"/>
        <v>2250000</v>
      </c>
      <c r="O12" s="4">
        <f t="shared" si="27"/>
        <v>0</v>
      </c>
      <c r="P12" s="5">
        <f t="shared" si="28"/>
        <v>8480000</v>
      </c>
      <c r="Q12" s="4">
        <f t="shared" si="29"/>
        <v>2250000</v>
      </c>
      <c r="R12" s="4">
        <f t="shared" si="30"/>
        <v>12750000</v>
      </c>
      <c r="S12" s="6">
        <f t="shared" si="31"/>
        <v>-651432.09358317417</v>
      </c>
      <c r="T12" s="12">
        <f t="shared" si="32"/>
        <v>0.22786270438460526</v>
      </c>
    </row>
    <row r="13" spans="1:20" ht="18" x14ac:dyDescent="0.45">
      <c r="A13" s="2">
        <v>0.15</v>
      </c>
      <c r="B13" s="9">
        <v>24</v>
      </c>
      <c r="C13" s="2">
        <v>0.122</v>
      </c>
      <c r="D13" s="2">
        <f t="shared" si="22"/>
        <v>0.3</v>
      </c>
      <c r="E13" s="3">
        <v>10000000</v>
      </c>
      <c r="F13" s="2">
        <v>0</v>
      </c>
      <c r="G13" s="8">
        <v>4.0087262500756962E-2</v>
      </c>
      <c r="H13" s="10">
        <v>2</v>
      </c>
      <c r="I13" s="3">
        <f t="shared" si="23"/>
        <v>20000000</v>
      </c>
      <c r="J13" s="11">
        <v>24</v>
      </c>
      <c r="K13" s="4">
        <f t="shared" si="24"/>
        <v>0</v>
      </c>
      <c r="L13" s="7">
        <v>0.1</v>
      </c>
      <c r="M13" s="4">
        <f t="shared" si="25"/>
        <v>600000</v>
      </c>
      <c r="N13" s="4">
        <f t="shared" si="26"/>
        <v>3000000</v>
      </c>
      <c r="O13" s="4">
        <f t="shared" si="27"/>
        <v>0</v>
      </c>
      <c r="P13" s="5">
        <f t="shared" si="28"/>
        <v>8480000</v>
      </c>
      <c r="Q13" s="4">
        <f t="shared" si="29"/>
        <v>3000000</v>
      </c>
      <c r="R13" s="4">
        <f t="shared" si="30"/>
        <v>17000000</v>
      </c>
      <c r="S13" s="6">
        <f t="shared" si="31"/>
        <v>-868576.12477757549</v>
      </c>
      <c r="T13" s="12">
        <f t="shared" si="32"/>
        <v>0.22786270438461129</v>
      </c>
    </row>
    <row r="14" spans="1:20" ht="18" x14ac:dyDescent="0.45">
      <c r="A14" s="2">
        <v>0.1</v>
      </c>
      <c r="B14" s="9">
        <v>4</v>
      </c>
      <c r="C14" s="2">
        <v>0.122</v>
      </c>
      <c r="D14" s="2">
        <f t="shared" si="16"/>
        <v>3.3333333333333333E-2</v>
      </c>
      <c r="E14" s="3">
        <v>10000000</v>
      </c>
      <c r="F14" s="2">
        <v>0</v>
      </c>
      <c r="G14" s="8">
        <v>0.13056742951185615</v>
      </c>
      <c r="H14" s="10">
        <v>1</v>
      </c>
      <c r="I14" s="3">
        <f t="shared" si="1"/>
        <v>10000000</v>
      </c>
      <c r="J14" s="11">
        <v>12</v>
      </c>
      <c r="K14" s="4">
        <f t="shared" si="2"/>
        <v>0</v>
      </c>
      <c r="L14" s="7">
        <v>0.1</v>
      </c>
      <c r="M14" s="4">
        <f t="shared" si="17"/>
        <v>150000</v>
      </c>
      <c r="N14" s="4">
        <f t="shared" si="18"/>
        <v>333333.33333333331</v>
      </c>
      <c r="O14" s="4">
        <f>I14*$S$1</f>
        <v>0</v>
      </c>
      <c r="P14" s="5">
        <f t="shared" si="4"/>
        <v>8480000</v>
      </c>
      <c r="Q14" s="4">
        <f>N14-K14</f>
        <v>333333.33333333331</v>
      </c>
      <c r="R14" s="4">
        <f t="shared" si="0"/>
        <v>9666666.666666666</v>
      </c>
      <c r="S14" s="6">
        <f t="shared" si="20"/>
        <v>-893438.99688402843</v>
      </c>
      <c r="T14" s="12">
        <f t="shared" si="21"/>
        <v>0.21996277223535216</v>
      </c>
    </row>
    <row r="15" spans="1:20" ht="18" x14ac:dyDescent="0.45">
      <c r="A15" s="2">
        <v>0.1</v>
      </c>
      <c r="B15" s="9">
        <v>6</v>
      </c>
      <c r="C15" s="2">
        <v>0.122</v>
      </c>
      <c r="D15" s="2">
        <f t="shared" si="16"/>
        <v>5.000000000000001E-2</v>
      </c>
      <c r="E15" s="3">
        <v>10000000</v>
      </c>
      <c r="F15" s="2">
        <v>0</v>
      </c>
      <c r="G15" s="8">
        <v>9.6810821558823396E-2</v>
      </c>
      <c r="H15" s="10">
        <v>1</v>
      </c>
      <c r="I15" s="3">
        <f t="shared" si="1"/>
        <v>10000000</v>
      </c>
      <c r="J15" s="11">
        <v>12</v>
      </c>
      <c r="K15" s="4">
        <f t="shared" si="2"/>
        <v>0</v>
      </c>
      <c r="L15" s="7">
        <v>0.1</v>
      </c>
      <c r="M15" s="4">
        <f t="shared" si="17"/>
        <v>150000</v>
      </c>
      <c r="N15" s="4">
        <f t="shared" si="18"/>
        <v>500000.00000000012</v>
      </c>
      <c r="O15" s="4">
        <f t="shared" si="3"/>
        <v>0</v>
      </c>
      <c r="P15" s="5">
        <f t="shared" si="4"/>
        <v>8480000</v>
      </c>
      <c r="Q15" s="4">
        <f>N15-K15</f>
        <v>500000.00000000012</v>
      </c>
      <c r="R15" s="4">
        <f t="shared" si="0"/>
        <v>9500000</v>
      </c>
      <c r="S15" s="6">
        <f t="shared" si="20"/>
        <v>-877676.30561422743</v>
      </c>
      <c r="T15" s="12">
        <f t="shared" si="21"/>
        <v>0.21960830915751722</v>
      </c>
    </row>
    <row r="16" spans="1:20" ht="18" x14ac:dyDescent="0.45">
      <c r="A16" s="2">
        <v>0.1</v>
      </c>
      <c r="B16" s="9">
        <v>8</v>
      </c>
      <c r="C16" s="2">
        <v>0.122</v>
      </c>
      <c r="D16" s="2">
        <f t="shared" si="16"/>
        <v>6.6666666666666666E-2</v>
      </c>
      <c r="E16" s="3">
        <v>10000000</v>
      </c>
      <c r="F16" s="2">
        <v>0</v>
      </c>
      <c r="G16" s="8">
        <v>0.13056742951183956</v>
      </c>
      <c r="H16" s="10">
        <v>2</v>
      </c>
      <c r="I16" s="3">
        <f t="shared" si="1"/>
        <v>20000000</v>
      </c>
      <c r="J16" s="11">
        <v>12</v>
      </c>
      <c r="K16" s="4">
        <f t="shared" si="2"/>
        <v>0</v>
      </c>
      <c r="L16" s="7">
        <v>0.1</v>
      </c>
      <c r="M16" s="4">
        <f t="shared" si="17"/>
        <v>300000</v>
      </c>
      <c r="N16" s="4">
        <f t="shared" si="18"/>
        <v>666666.66666666663</v>
      </c>
      <c r="O16" s="4">
        <f t="shared" si="3"/>
        <v>0</v>
      </c>
      <c r="P16" s="5">
        <f t="shared" si="4"/>
        <v>8480000</v>
      </c>
      <c r="Q16" s="4">
        <f>N16-K16</f>
        <v>666666.66666666663</v>
      </c>
      <c r="R16" s="4">
        <f t="shared" si="0"/>
        <v>19333333.333333332</v>
      </c>
      <c r="S16" s="6">
        <f t="shared" si="20"/>
        <v>-1786877.993768041</v>
      </c>
      <c r="T16" s="12">
        <f t="shared" si="21"/>
        <v>0.2199627722353372</v>
      </c>
    </row>
    <row r="17" spans="1:20" ht="18" x14ac:dyDescent="0.45">
      <c r="A17" s="2">
        <v>0.15</v>
      </c>
      <c r="B17" s="9">
        <v>12</v>
      </c>
      <c r="C17" s="2">
        <v>0.122</v>
      </c>
      <c r="D17" s="2">
        <f t="shared" si="16"/>
        <v>0.15</v>
      </c>
      <c r="E17" s="3">
        <v>10000000</v>
      </c>
      <c r="F17" s="2">
        <v>0</v>
      </c>
      <c r="G17" s="8">
        <v>4.5562127258588173E-2</v>
      </c>
      <c r="H17" s="10">
        <v>2</v>
      </c>
      <c r="I17" s="3">
        <f t="shared" si="1"/>
        <v>20000000</v>
      </c>
      <c r="J17" s="11">
        <v>12</v>
      </c>
      <c r="K17" s="4">
        <f t="shared" si="2"/>
        <v>0</v>
      </c>
      <c r="L17" s="7">
        <v>0.1</v>
      </c>
      <c r="M17" s="4">
        <f t="shared" si="17"/>
        <v>300000</v>
      </c>
      <c r="N17" s="4">
        <f t="shared" si="18"/>
        <v>1500000</v>
      </c>
      <c r="O17" s="4">
        <f t="shared" si="3"/>
        <v>0</v>
      </c>
      <c r="P17" s="5">
        <f t="shared" si="4"/>
        <v>8480000</v>
      </c>
      <c r="Q17" s="4">
        <f t="shared" ref="Q17:Q22" si="33">N17-K17</f>
        <v>1500000</v>
      </c>
      <c r="R17" s="4">
        <f t="shared" si="0"/>
        <v>18500000</v>
      </c>
      <c r="S17" s="6">
        <f t="shared" si="20"/>
        <v>-1708084.9088174615</v>
      </c>
      <c r="T17" s="12">
        <f t="shared" si="21"/>
        <v>0.21907549445955732</v>
      </c>
    </row>
    <row r="18" spans="1:20" ht="18" x14ac:dyDescent="0.45">
      <c r="A18" s="2">
        <v>0.15</v>
      </c>
      <c r="B18" s="9">
        <v>15</v>
      </c>
      <c r="C18" s="2">
        <v>0.122</v>
      </c>
      <c r="D18" s="2">
        <f t="shared" ref="D18:D20" si="34">B18*A18/12</f>
        <v>0.1875</v>
      </c>
      <c r="E18" s="3">
        <v>10000000</v>
      </c>
      <c r="F18" s="2">
        <v>0</v>
      </c>
      <c r="G18" s="8">
        <v>7.1283088433388223E-2</v>
      </c>
      <c r="H18" s="10">
        <v>3</v>
      </c>
      <c r="I18" s="3">
        <f t="shared" ref="I18:I20" si="35">H18*E18</f>
        <v>30000000</v>
      </c>
      <c r="J18" s="11">
        <v>12</v>
      </c>
      <c r="K18" s="4">
        <f t="shared" ref="K18:K20" si="36">E18*F18*B18/12</f>
        <v>0</v>
      </c>
      <c r="L18" s="7">
        <v>0.1</v>
      </c>
      <c r="M18" s="4">
        <f t="shared" ref="M18:M20" si="37">+I18*L18*J18*0.15/12</f>
        <v>450000</v>
      </c>
      <c r="N18" s="4">
        <f t="shared" ref="N18:N20" si="38">E18*D18+O18</f>
        <v>1875000</v>
      </c>
      <c r="O18" s="4">
        <f t="shared" ref="O18:O20" si="39">I18*$S$1</f>
        <v>0</v>
      </c>
      <c r="P18" s="5">
        <f t="shared" ref="P18:P20" si="40">E18*(1-C18-0.03)</f>
        <v>8480000</v>
      </c>
      <c r="Q18" s="4">
        <f t="shared" ref="Q18:Q20" si="41">N18-K18</f>
        <v>1875000</v>
      </c>
      <c r="R18" s="4">
        <f t="shared" ref="R18:R20" si="42">I18-Q18</f>
        <v>28125000</v>
      </c>
      <c r="S18" s="6">
        <f t="shared" ref="S18:S20" si="43">PMT(G18/12,J18,I18)</f>
        <v>-2597577.2317199549</v>
      </c>
      <c r="T18" s="12">
        <f t="shared" ref="T18:T20" si="44">RATE(J18,S18,R18,-M18,,0.18)*12</f>
        <v>0.21934475897788164</v>
      </c>
    </row>
    <row r="19" spans="1:20" ht="18" x14ac:dyDescent="0.45">
      <c r="A19" s="2">
        <v>0.15</v>
      </c>
      <c r="B19" s="9">
        <v>18</v>
      </c>
      <c r="C19" s="2">
        <v>0.122</v>
      </c>
      <c r="D19" s="2">
        <f t="shared" si="34"/>
        <v>0.22499999999999998</v>
      </c>
      <c r="E19" s="3">
        <v>10000000</v>
      </c>
      <c r="F19" s="2">
        <v>0</v>
      </c>
      <c r="G19" s="8">
        <v>4.5562127258578958E-2</v>
      </c>
      <c r="H19" s="10">
        <v>3</v>
      </c>
      <c r="I19" s="3">
        <f t="shared" si="35"/>
        <v>30000000</v>
      </c>
      <c r="J19" s="11">
        <v>12</v>
      </c>
      <c r="K19" s="4">
        <f t="shared" si="36"/>
        <v>0</v>
      </c>
      <c r="L19" s="7">
        <v>0.1</v>
      </c>
      <c r="M19" s="4">
        <f t="shared" si="37"/>
        <v>450000</v>
      </c>
      <c r="N19" s="4">
        <f t="shared" si="38"/>
        <v>2250000</v>
      </c>
      <c r="O19" s="4">
        <f t="shared" si="39"/>
        <v>0</v>
      </c>
      <c r="P19" s="5">
        <f t="shared" si="40"/>
        <v>8480000</v>
      </c>
      <c r="Q19" s="4">
        <f t="shared" si="41"/>
        <v>2250000</v>
      </c>
      <c r="R19" s="4">
        <f t="shared" si="42"/>
        <v>27750000</v>
      </c>
      <c r="S19" s="6">
        <f t="shared" si="43"/>
        <v>-2562127.36322618</v>
      </c>
      <c r="T19" s="12">
        <f t="shared" si="44"/>
        <v>0.21907549445954183</v>
      </c>
    </row>
    <row r="20" spans="1:20" ht="18" x14ac:dyDescent="0.45">
      <c r="A20" s="2">
        <v>0.15</v>
      </c>
      <c r="B20" s="9">
        <v>24</v>
      </c>
      <c r="C20" s="2">
        <v>0.122</v>
      </c>
      <c r="D20" s="2">
        <f t="shared" si="34"/>
        <v>0.3</v>
      </c>
      <c r="E20" s="3">
        <v>10000000</v>
      </c>
      <c r="F20" s="2">
        <v>0</v>
      </c>
      <c r="G20" s="8">
        <v>-6.4729445922312862E-3</v>
      </c>
      <c r="H20" s="10">
        <v>3</v>
      </c>
      <c r="I20" s="3">
        <f t="shared" si="35"/>
        <v>30000000</v>
      </c>
      <c r="J20" s="11">
        <v>12</v>
      </c>
      <c r="K20" s="4">
        <f t="shared" si="36"/>
        <v>0</v>
      </c>
      <c r="L20" s="7">
        <v>0.1</v>
      </c>
      <c r="M20" s="4">
        <f t="shared" si="37"/>
        <v>450000</v>
      </c>
      <c r="N20" s="4">
        <f t="shared" si="38"/>
        <v>3000000</v>
      </c>
      <c r="O20" s="4">
        <f t="shared" si="39"/>
        <v>0</v>
      </c>
      <c r="P20" s="5">
        <f t="shared" si="40"/>
        <v>8480000</v>
      </c>
      <c r="Q20" s="4">
        <f t="shared" si="41"/>
        <v>3000000</v>
      </c>
      <c r="R20" s="4">
        <f t="shared" si="42"/>
        <v>27000000</v>
      </c>
      <c r="S20" s="6">
        <f t="shared" si="43"/>
        <v>-2491243.2248736518</v>
      </c>
      <c r="T20" s="12">
        <f t="shared" si="44"/>
        <v>0.21852659861277701</v>
      </c>
    </row>
    <row r="21" spans="1:20" ht="18" x14ac:dyDescent="0.45">
      <c r="A21" s="2">
        <v>0.1</v>
      </c>
      <c r="B21" s="9">
        <v>4</v>
      </c>
      <c r="C21" s="2">
        <v>0.122</v>
      </c>
      <c r="D21" s="2">
        <f t="shared" si="16"/>
        <v>3.3333333333333333E-2</v>
      </c>
      <c r="E21" s="3">
        <v>10000000</v>
      </c>
      <c r="F21" s="2">
        <v>0</v>
      </c>
      <c r="G21" s="8">
        <v>0.10100000000000001</v>
      </c>
      <c r="H21" s="10">
        <v>0.7</v>
      </c>
      <c r="I21" s="3">
        <f>H21*E21</f>
        <v>7000000</v>
      </c>
      <c r="J21" s="11">
        <v>12</v>
      </c>
      <c r="K21" s="4">
        <f t="shared" si="2"/>
        <v>0</v>
      </c>
      <c r="L21" s="7">
        <v>0.1</v>
      </c>
      <c r="M21" s="4">
        <f t="shared" si="17"/>
        <v>105000</v>
      </c>
      <c r="N21" s="4">
        <f t="shared" si="18"/>
        <v>333333.33333333331</v>
      </c>
      <c r="O21" s="4">
        <f t="shared" si="3"/>
        <v>0</v>
      </c>
      <c r="P21" s="5">
        <f t="shared" si="4"/>
        <v>8480000</v>
      </c>
      <c r="Q21" s="4">
        <f t="shared" si="33"/>
        <v>333333.33333333331</v>
      </c>
      <c r="R21" s="4">
        <f t="shared" si="0"/>
        <v>6666666.666666667</v>
      </c>
      <c r="S21" s="6">
        <f t="shared" si="20"/>
        <v>-615736.822078155</v>
      </c>
      <c r="T21" s="12">
        <f t="shared" si="21"/>
        <v>0.21900370840263916</v>
      </c>
    </row>
    <row r="22" spans="1:20" ht="18" x14ac:dyDescent="0.45">
      <c r="A22" s="2">
        <v>0.1</v>
      </c>
      <c r="B22" s="9">
        <v>6</v>
      </c>
      <c r="C22" s="2">
        <v>0.122</v>
      </c>
      <c r="D22" s="2">
        <f t="shared" si="16"/>
        <v>5.000000000000001E-2</v>
      </c>
      <c r="E22" s="3">
        <v>10000000</v>
      </c>
      <c r="F22" s="2">
        <v>0</v>
      </c>
      <c r="G22" s="8">
        <v>9.9000000000000005E-2</v>
      </c>
      <c r="H22" s="10">
        <v>0.5</v>
      </c>
      <c r="I22" s="3">
        <f t="shared" ref="I22" si="45">H22*E22</f>
        <v>5000000</v>
      </c>
      <c r="J22" s="11">
        <v>24</v>
      </c>
      <c r="K22" s="4">
        <f t="shared" si="2"/>
        <v>0</v>
      </c>
      <c r="L22" s="7">
        <v>0.1</v>
      </c>
      <c r="M22" s="4">
        <f t="shared" si="17"/>
        <v>150000</v>
      </c>
      <c r="N22" s="4">
        <f t="shared" si="18"/>
        <v>500000.00000000012</v>
      </c>
      <c r="O22" s="4">
        <f t="shared" si="3"/>
        <v>0</v>
      </c>
      <c r="P22" s="5">
        <f t="shared" si="4"/>
        <v>8480000</v>
      </c>
      <c r="Q22" s="4">
        <f t="shared" si="33"/>
        <v>500000.00000000012</v>
      </c>
      <c r="R22" s="4">
        <f t="shared" si="0"/>
        <v>4500000</v>
      </c>
      <c r="S22" s="6">
        <f t="shared" si="20"/>
        <v>-230493.9254470997</v>
      </c>
      <c r="T22" s="12">
        <f t="shared" si="21"/>
        <v>0.22910270070023575</v>
      </c>
    </row>
    <row r="23" spans="1:20" ht="18" x14ac:dyDescent="0.45">
      <c r="A23" s="2">
        <v>0.1</v>
      </c>
      <c r="B23" s="9">
        <v>8</v>
      </c>
      <c r="C23" s="2">
        <v>0.122</v>
      </c>
      <c r="D23" s="2">
        <f>B23*A23/12</f>
        <v>6.6666666666666666E-2</v>
      </c>
      <c r="E23" s="3">
        <v>10000000</v>
      </c>
      <c r="F23" s="2">
        <v>0.1</v>
      </c>
      <c r="G23" s="8">
        <v>0.21603510173250934</v>
      </c>
      <c r="H23" s="10">
        <v>1</v>
      </c>
      <c r="I23" s="3">
        <f>H23*E23</f>
        <v>10000000</v>
      </c>
      <c r="J23" s="11">
        <v>36</v>
      </c>
      <c r="K23" s="4">
        <f>E23*F23*B23/12</f>
        <v>666666.66666666663</v>
      </c>
      <c r="L23" s="7">
        <v>0.1</v>
      </c>
      <c r="M23" s="4">
        <f>+I23*L23*J23*0.15/12</f>
        <v>450000</v>
      </c>
      <c r="N23" s="4">
        <f>E23*D23+O23</f>
        <v>666666.66666666663</v>
      </c>
      <c r="O23" s="4">
        <f>I23*$S$1</f>
        <v>0</v>
      </c>
      <c r="P23" s="5">
        <f>E23*(1-C23-0.03)</f>
        <v>8480000</v>
      </c>
      <c r="Q23" s="4">
        <f>N23-K23</f>
        <v>0</v>
      </c>
      <c r="R23" s="4">
        <f t="shared" ref="R23:R43" si="46">I23-Q23</f>
        <v>10000000</v>
      </c>
      <c r="S23" s="6">
        <f>PMT(G23/12,J23,I23)</f>
        <v>-379856.42328610813</v>
      </c>
      <c r="T23" s="12">
        <f>RATE(J23,S23,R23,-M23,,0.18)*12</f>
        <v>0.23289964599437385</v>
      </c>
    </row>
    <row r="24" spans="1:20" ht="18" x14ac:dyDescent="0.45">
      <c r="A24" s="2">
        <v>0.15</v>
      </c>
      <c r="B24" s="9">
        <v>12</v>
      </c>
      <c r="C24" s="2">
        <v>0.122</v>
      </c>
      <c r="D24" s="2">
        <f t="shared" ref="D24:D43" si="47">B24*A24/12</f>
        <v>0.15</v>
      </c>
      <c r="E24" s="3">
        <v>10000000</v>
      </c>
      <c r="F24" s="2">
        <v>0.1</v>
      </c>
      <c r="G24" s="8">
        <v>0.17724460344041534</v>
      </c>
      <c r="H24" s="10">
        <v>1</v>
      </c>
      <c r="I24" s="3">
        <f t="shared" ref="I24:I41" si="48">H24*E24</f>
        <v>10000000</v>
      </c>
      <c r="J24" s="11">
        <v>36</v>
      </c>
      <c r="K24" s="4">
        <f t="shared" ref="K24:K43" si="49">E24*F24*B24/12</f>
        <v>1000000</v>
      </c>
      <c r="L24" s="7">
        <v>0.1</v>
      </c>
      <c r="M24" s="4">
        <f t="shared" ref="M24:M43" si="50">+I24*L24*J24*0.15/12</f>
        <v>450000</v>
      </c>
      <c r="N24" s="4">
        <f t="shared" ref="N24:N43" si="51">E24*D24+O24</f>
        <v>1500000</v>
      </c>
      <c r="O24" s="4">
        <f t="shared" ref="O24:O34" si="52">I24*$S$1</f>
        <v>0</v>
      </c>
      <c r="P24" s="5">
        <f t="shared" ref="P24:P43" si="53">E24*(1-C24-0.03)</f>
        <v>8480000</v>
      </c>
      <c r="Q24" s="4">
        <f t="shared" ref="Q24:Q29" si="54">N24-K24</f>
        <v>500000</v>
      </c>
      <c r="R24" s="4">
        <f t="shared" si="46"/>
        <v>9500000</v>
      </c>
      <c r="S24" s="6">
        <f t="shared" ref="S24:S43" si="55">PMT(G24/12,J24,I24)</f>
        <v>-360143.21559281833</v>
      </c>
      <c r="T24" s="12">
        <f t="shared" ref="T24:T43" si="56">RATE(J24,S24,R24,-M24,,0.18)*12</f>
        <v>0.23234544521770745</v>
      </c>
    </row>
    <row r="25" spans="1:20" ht="18" x14ac:dyDescent="0.45">
      <c r="A25" s="2">
        <v>0.15</v>
      </c>
      <c r="B25" s="9">
        <v>15</v>
      </c>
      <c r="C25" s="2">
        <v>0.122</v>
      </c>
      <c r="D25" s="2">
        <f t="shared" si="47"/>
        <v>0.1875</v>
      </c>
      <c r="E25" s="3">
        <v>10000000</v>
      </c>
      <c r="F25" s="2">
        <v>0.1</v>
      </c>
      <c r="G25" s="8">
        <v>0.16753226568317081</v>
      </c>
      <c r="H25" s="10">
        <v>1</v>
      </c>
      <c r="I25" s="3">
        <f t="shared" si="48"/>
        <v>10000000</v>
      </c>
      <c r="J25" s="11">
        <v>36</v>
      </c>
      <c r="K25" s="4">
        <f t="shared" si="49"/>
        <v>1250000</v>
      </c>
      <c r="L25" s="7">
        <v>0.1</v>
      </c>
      <c r="M25" s="4">
        <f t="shared" si="50"/>
        <v>450000</v>
      </c>
      <c r="N25" s="4">
        <f t="shared" si="51"/>
        <v>1875000</v>
      </c>
      <c r="O25" s="4">
        <f t="shared" si="52"/>
        <v>0</v>
      </c>
      <c r="P25" s="5">
        <f t="shared" si="53"/>
        <v>8480000</v>
      </c>
      <c r="Q25" s="4">
        <f t="shared" si="54"/>
        <v>625000</v>
      </c>
      <c r="R25" s="4">
        <f t="shared" si="46"/>
        <v>9375000</v>
      </c>
      <c r="S25" s="6">
        <f t="shared" si="55"/>
        <v>-355300.33359571744</v>
      </c>
      <c r="T25" s="12">
        <f t="shared" si="56"/>
        <v>0.23236754542780219</v>
      </c>
    </row>
    <row r="26" spans="1:20" ht="18" x14ac:dyDescent="0.45">
      <c r="A26" s="2">
        <v>0.15</v>
      </c>
      <c r="B26" s="9">
        <v>18</v>
      </c>
      <c r="C26" s="2">
        <v>0.122</v>
      </c>
      <c r="D26" s="2">
        <f t="shared" si="47"/>
        <v>0.22499999999999998</v>
      </c>
      <c r="E26" s="3">
        <v>10000000</v>
      </c>
      <c r="F26" s="2">
        <v>0.1</v>
      </c>
      <c r="G26" s="8">
        <v>0.15756483537305813</v>
      </c>
      <c r="H26" s="10">
        <v>1</v>
      </c>
      <c r="I26" s="3">
        <f t="shared" si="48"/>
        <v>10000000</v>
      </c>
      <c r="J26" s="11">
        <v>36</v>
      </c>
      <c r="K26" s="4">
        <f t="shared" si="49"/>
        <v>1500000</v>
      </c>
      <c r="L26" s="7">
        <v>0.1</v>
      </c>
      <c r="M26" s="4">
        <f t="shared" si="50"/>
        <v>450000</v>
      </c>
      <c r="N26" s="4">
        <f t="shared" si="51"/>
        <v>2250000</v>
      </c>
      <c r="O26" s="4">
        <f t="shared" si="52"/>
        <v>0</v>
      </c>
      <c r="P26" s="5">
        <f t="shared" si="53"/>
        <v>8480000</v>
      </c>
      <c r="Q26" s="4">
        <f t="shared" si="54"/>
        <v>750000</v>
      </c>
      <c r="R26" s="4">
        <f t="shared" si="46"/>
        <v>9250000</v>
      </c>
      <c r="S26" s="6">
        <f t="shared" si="55"/>
        <v>-350369.26765897329</v>
      </c>
      <c r="T26" s="12">
        <f t="shared" si="56"/>
        <v>0.23221277206031854</v>
      </c>
    </row>
    <row r="27" spans="1:20" ht="18" x14ac:dyDescent="0.45">
      <c r="A27" s="2">
        <v>0.15</v>
      </c>
      <c r="B27" s="9">
        <v>24</v>
      </c>
      <c r="C27" s="2">
        <v>0.122</v>
      </c>
      <c r="D27" s="2">
        <f t="shared" si="47"/>
        <v>0.3</v>
      </c>
      <c r="E27" s="3">
        <v>10000000</v>
      </c>
      <c r="F27" s="2">
        <v>0.1</v>
      </c>
      <c r="G27" s="8">
        <v>0.16421756255597597</v>
      </c>
      <c r="H27" s="10">
        <v>1.5</v>
      </c>
      <c r="I27" s="3">
        <f t="shared" si="48"/>
        <v>15000000</v>
      </c>
      <c r="J27" s="11">
        <v>36</v>
      </c>
      <c r="K27" s="4">
        <f t="shared" si="49"/>
        <v>2000000</v>
      </c>
      <c r="L27" s="7">
        <v>0.1</v>
      </c>
      <c r="M27" s="4">
        <f t="shared" si="50"/>
        <v>675000</v>
      </c>
      <c r="N27" s="4">
        <f t="shared" si="51"/>
        <v>3000000</v>
      </c>
      <c r="O27" s="4">
        <f t="shared" si="52"/>
        <v>0</v>
      </c>
      <c r="P27" s="5">
        <f t="shared" si="53"/>
        <v>8480000</v>
      </c>
      <c r="Q27" s="4">
        <f t="shared" si="54"/>
        <v>1000000</v>
      </c>
      <c r="R27" s="4">
        <f t="shared" si="46"/>
        <v>14000000</v>
      </c>
      <c r="S27" s="6">
        <f t="shared" si="55"/>
        <v>-530484.14540072763</v>
      </c>
      <c r="T27" s="12">
        <f t="shared" si="56"/>
        <v>0.23231531068327585</v>
      </c>
    </row>
    <row r="28" spans="1:20" ht="18" x14ac:dyDescent="0.45">
      <c r="A28" s="2">
        <v>0.1</v>
      </c>
      <c r="B28" s="9">
        <v>4</v>
      </c>
      <c r="C28" s="2">
        <v>0.122</v>
      </c>
      <c r="D28" s="2">
        <f t="shared" si="47"/>
        <v>3.3333333333333333E-2</v>
      </c>
      <c r="E28" s="3">
        <v>10000000</v>
      </c>
      <c r="F28" s="2">
        <v>0.1</v>
      </c>
      <c r="G28" s="8">
        <v>0.20948630813095639</v>
      </c>
      <c r="H28" s="10">
        <v>1</v>
      </c>
      <c r="I28" s="3">
        <f t="shared" si="48"/>
        <v>10000000</v>
      </c>
      <c r="J28" s="11">
        <v>24</v>
      </c>
      <c r="K28" s="4">
        <f t="shared" si="49"/>
        <v>333333.33333333331</v>
      </c>
      <c r="L28" s="7">
        <v>0.1</v>
      </c>
      <c r="M28" s="4">
        <f t="shared" si="50"/>
        <v>300000</v>
      </c>
      <c r="N28" s="4">
        <f t="shared" si="51"/>
        <v>333333.33333333331</v>
      </c>
      <c r="O28" s="4">
        <f t="shared" si="52"/>
        <v>0</v>
      </c>
      <c r="P28" s="5">
        <f t="shared" si="53"/>
        <v>8480000</v>
      </c>
      <c r="Q28" s="4">
        <f t="shared" si="54"/>
        <v>0</v>
      </c>
      <c r="R28" s="4">
        <f t="shared" si="46"/>
        <v>10000000</v>
      </c>
      <c r="S28" s="6">
        <f t="shared" si="55"/>
        <v>-513604.23085889796</v>
      </c>
      <c r="T28" s="12">
        <f t="shared" si="56"/>
        <v>0.2296706304388402</v>
      </c>
    </row>
    <row r="29" spans="1:20" ht="18" x14ac:dyDescent="0.45">
      <c r="A29" s="2">
        <v>0.1</v>
      </c>
      <c r="B29" s="9">
        <v>6</v>
      </c>
      <c r="C29" s="2">
        <v>0.122</v>
      </c>
      <c r="D29" s="2">
        <f t="shared" si="47"/>
        <v>5.000000000000001E-2</v>
      </c>
      <c r="E29" s="3">
        <v>10000000</v>
      </c>
      <c r="F29" s="2">
        <v>0.1</v>
      </c>
      <c r="G29" s="8">
        <v>0.20948630813095639</v>
      </c>
      <c r="H29" s="10">
        <v>1</v>
      </c>
      <c r="I29" s="3">
        <f t="shared" si="48"/>
        <v>10000000</v>
      </c>
      <c r="J29" s="11">
        <v>24</v>
      </c>
      <c r="K29" s="4">
        <f t="shared" si="49"/>
        <v>500000</v>
      </c>
      <c r="L29" s="7">
        <v>0.1</v>
      </c>
      <c r="M29" s="4">
        <f t="shared" si="50"/>
        <v>300000</v>
      </c>
      <c r="N29" s="4">
        <f t="shared" si="51"/>
        <v>500000.00000000012</v>
      </c>
      <c r="O29" s="4">
        <f t="shared" si="52"/>
        <v>0</v>
      </c>
      <c r="P29" s="5">
        <f t="shared" si="53"/>
        <v>8480000</v>
      </c>
      <c r="Q29" s="4">
        <f t="shared" si="54"/>
        <v>0</v>
      </c>
      <c r="R29" s="4">
        <f t="shared" si="46"/>
        <v>10000000</v>
      </c>
      <c r="S29" s="6">
        <f t="shared" si="55"/>
        <v>-513604.23085889796</v>
      </c>
      <c r="T29" s="12">
        <f t="shared" si="56"/>
        <v>0.2296706304388402</v>
      </c>
    </row>
    <row r="30" spans="1:20" ht="18" x14ac:dyDescent="0.45">
      <c r="A30" s="2">
        <v>0.1</v>
      </c>
      <c r="B30" s="9">
        <v>8</v>
      </c>
      <c r="C30" s="2">
        <v>0.122</v>
      </c>
      <c r="D30" s="2">
        <f t="shared" si="47"/>
        <v>6.6666666666666666E-2</v>
      </c>
      <c r="E30" s="3">
        <v>10000000</v>
      </c>
      <c r="F30" s="2">
        <v>0.1</v>
      </c>
      <c r="G30" s="8">
        <v>0.20948630813095639</v>
      </c>
      <c r="H30" s="10">
        <v>1</v>
      </c>
      <c r="I30" s="3">
        <f t="shared" si="48"/>
        <v>10000000</v>
      </c>
      <c r="J30" s="11">
        <v>24</v>
      </c>
      <c r="K30" s="4">
        <f t="shared" si="49"/>
        <v>666666.66666666663</v>
      </c>
      <c r="L30" s="7">
        <v>0.1</v>
      </c>
      <c r="M30" s="4">
        <f t="shared" si="50"/>
        <v>300000</v>
      </c>
      <c r="N30" s="4">
        <f t="shared" si="51"/>
        <v>666666.66666666663</v>
      </c>
      <c r="O30" s="4">
        <f t="shared" si="52"/>
        <v>0</v>
      </c>
      <c r="P30" s="5">
        <f t="shared" si="53"/>
        <v>8480000</v>
      </c>
      <c r="Q30" s="4">
        <f>N30-K30</f>
        <v>0</v>
      </c>
      <c r="R30" s="4">
        <f t="shared" si="46"/>
        <v>10000000</v>
      </c>
      <c r="S30" s="6">
        <f t="shared" si="55"/>
        <v>-513604.23085889796</v>
      </c>
      <c r="T30" s="12">
        <f t="shared" si="56"/>
        <v>0.2296706304388402</v>
      </c>
    </row>
    <row r="31" spans="1:20" ht="18" x14ac:dyDescent="0.45">
      <c r="A31" s="2">
        <v>0.15</v>
      </c>
      <c r="B31" s="9">
        <v>12</v>
      </c>
      <c r="C31" s="2">
        <v>0.122</v>
      </c>
      <c r="D31" s="2">
        <f t="shared" si="47"/>
        <v>0.15</v>
      </c>
      <c r="E31" s="3">
        <v>10000000</v>
      </c>
      <c r="F31" s="2">
        <v>0.1</v>
      </c>
      <c r="G31" s="8">
        <v>0.15478826336801596</v>
      </c>
      <c r="H31" s="10">
        <v>1</v>
      </c>
      <c r="I31" s="3">
        <f t="shared" si="48"/>
        <v>10000000</v>
      </c>
      <c r="J31" s="11">
        <v>24</v>
      </c>
      <c r="K31" s="4">
        <f t="shared" si="49"/>
        <v>1000000</v>
      </c>
      <c r="L31" s="7">
        <v>0.1</v>
      </c>
      <c r="M31" s="4">
        <f t="shared" si="50"/>
        <v>300000</v>
      </c>
      <c r="N31" s="4">
        <f t="shared" si="51"/>
        <v>1500000</v>
      </c>
      <c r="O31" s="4">
        <f t="shared" si="52"/>
        <v>0</v>
      </c>
      <c r="P31" s="5">
        <f t="shared" si="53"/>
        <v>8480000</v>
      </c>
      <c r="Q31" s="4">
        <f>N31-K31</f>
        <v>500000</v>
      </c>
      <c r="R31" s="4">
        <f t="shared" si="46"/>
        <v>9500000</v>
      </c>
      <c r="S31" s="6">
        <f t="shared" si="55"/>
        <v>-487144.5462085933</v>
      </c>
      <c r="T31" s="12">
        <f t="shared" si="56"/>
        <v>0.2290867334518488</v>
      </c>
    </row>
    <row r="32" spans="1:20" ht="18" x14ac:dyDescent="0.45">
      <c r="A32" s="2">
        <v>0.15</v>
      </c>
      <c r="B32" s="9">
        <v>15</v>
      </c>
      <c r="C32" s="2">
        <v>0.122</v>
      </c>
      <c r="D32" s="2">
        <f t="shared" si="47"/>
        <v>0.1875</v>
      </c>
      <c r="E32" s="3">
        <v>10000000</v>
      </c>
      <c r="F32" s="2">
        <v>0.1</v>
      </c>
      <c r="G32" s="8">
        <v>0.14083467157868138</v>
      </c>
      <c r="H32" s="10">
        <v>1</v>
      </c>
      <c r="I32" s="3">
        <f t="shared" si="48"/>
        <v>10000000</v>
      </c>
      <c r="J32" s="11">
        <v>24</v>
      </c>
      <c r="K32" s="4">
        <f t="shared" si="49"/>
        <v>1250000</v>
      </c>
      <c r="L32" s="7">
        <v>0.1</v>
      </c>
      <c r="M32" s="4">
        <f t="shared" si="50"/>
        <v>300000</v>
      </c>
      <c r="N32" s="4">
        <f t="shared" si="51"/>
        <v>1875000</v>
      </c>
      <c r="O32" s="4">
        <f t="shared" si="52"/>
        <v>0</v>
      </c>
      <c r="P32" s="5">
        <f t="shared" si="53"/>
        <v>8480000</v>
      </c>
      <c r="Q32" s="4">
        <f t="shared" ref="Q32:Q34" si="57">N32-K32</f>
        <v>625000</v>
      </c>
      <c r="R32" s="4">
        <f t="shared" si="46"/>
        <v>9375000</v>
      </c>
      <c r="S32" s="6">
        <f t="shared" si="55"/>
        <v>-480523.23722898093</v>
      </c>
      <c r="T32" s="12">
        <f t="shared" si="56"/>
        <v>0.22891776578019724</v>
      </c>
    </row>
    <row r="33" spans="1:20" ht="18" x14ac:dyDescent="0.45">
      <c r="A33" s="2">
        <v>0.15</v>
      </c>
      <c r="B33" s="9">
        <v>18</v>
      </c>
      <c r="C33" s="2">
        <v>0.122</v>
      </c>
      <c r="D33" s="2">
        <f t="shared" si="47"/>
        <v>0.22499999999999998</v>
      </c>
      <c r="E33" s="3">
        <v>10000000</v>
      </c>
      <c r="F33" s="2">
        <v>0.1</v>
      </c>
      <c r="G33" s="8">
        <v>0.1547882633680131</v>
      </c>
      <c r="H33" s="10">
        <v>1.5</v>
      </c>
      <c r="I33" s="3">
        <f t="shared" si="48"/>
        <v>15000000</v>
      </c>
      <c r="J33" s="11">
        <v>24</v>
      </c>
      <c r="K33" s="4">
        <f t="shared" si="49"/>
        <v>1500000</v>
      </c>
      <c r="L33" s="7">
        <v>0.1</v>
      </c>
      <c r="M33" s="4">
        <f t="shared" si="50"/>
        <v>450000</v>
      </c>
      <c r="N33" s="4">
        <f t="shared" si="51"/>
        <v>2250000</v>
      </c>
      <c r="O33" s="4">
        <f t="shared" si="52"/>
        <v>0</v>
      </c>
      <c r="P33" s="5">
        <f t="shared" si="53"/>
        <v>8480000</v>
      </c>
      <c r="Q33" s="4">
        <f t="shared" si="57"/>
        <v>750000</v>
      </c>
      <c r="R33" s="4">
        <f t="shared" si="46"/>
        <v>14250000</v>
      </c>
      <c r="S33" s="6">
        <f t="shared" si="55"/>
        <v>-730716.81931288785</v>
      </c>
      <c r="T33" s="12">
        <f t="shared" si="56"/>
        <v>0.22908673345184646</v>
      </c>
    </row>
    <row r="34" spans="1:20" ht="18" x14ac:dyDescent="0.45">
      <c r="A34" s="2">
        <v>0.15</v>
      </c>
      <c r="B34" s="9">
        <v>24</v>
      </c>
      <c r="C34" s="2">
        <v>0.122</v>
      </c>
      <c r="D34" s="2">
        <f t="shared" si="47"/>
        <v>0.3</v>
      </c>
      <c r="E34" s="3">
        <v>10000000</v>
      </c>
      <c r="F34" s="2">
        <v>0.1</v>
      </c>
      <c r="G34" s="8">
        <v>0.15478826336801596</v>
      </c>
      <c r="H34" s="10">
        <v>2</v>
      </c>
      <c r="I34" s="3">
        <f t="shared" si="48"/>
        <v>20000000</v>
      </c>
      <c r="J34" s="11">
        <v>24</v>
      </c>
      <c r="K34" s="4">
        <f t="shared" si="49"/>
        <v>2000000</v>
      </c>
      <c r="L34" s="7">
        <v>0.1</v>
      </c>
      <c r="M34" s="4">
        <f t="shared" si="50"/>
        <v>600000</v>
      </c>
      <c r="N34" s="4">
        <f t="shared" si="51"/>
        <v>3000000</v>
      </c>
      <c r="O34" s="4">
        <f t="shared" si="52"/>
        <v>0</v>
      </c>
      <c r="P34" s="5">
        <f t="shared" si="53"/>
        <v>8480000</v>
      </c>
      <c r="Q34" s="4">
        <f t="shared" si="57"/>
        <v>1000000</v>
      </c>
      <c r="R34" s="4">
        <f t="shared" si="46"/>
        <v>19000000</v>
      </c>
      <c r="S34" s="6">
        <f t="shared" si="55"/>
        <v>-974289.09241718659</v>
      </c>
      <c r="T34" s="12">
        <f t="shared" si="56"/>
        <v>0.2290867334518488</v>
      </c>
    </row>
    <row r="35" spans="1:20" ht="18" x14ac:dyDescent="0.45">
      <c r="A35" s="2">
        <v>0.1</v>
      </c>
      <c r="B35" s="9">
        <v>4</v>
      </c>
      <c r="C35" s="2">
        <v>0.122</v>
      </c>
      <c r="D35" s="2">
        <f t="shared" si="47"/>
        <v>3.3333333333333333E-2</v>
      </c>
      <c r="E35" s="3">
        <v>10000000</v>
      </c>
      <c r="F35" s="2">
        <v>0.1</v>
      </c>
      <c r="G35" s="8">
        <v>0.1971105906652644</v>
      </c>
      <c r="H35" s="10">
        <v>1</v>
      </c>
      <c r="I35" s="3">
        <f t="shared" si="48"/>
        <v>10000000</v>
      </c>
      <c r="J35" s="11">
        <v>12</v>
      </c>
      <c r="K35" s="4">
        <f t="shared" si="49"/>
        <v>333333.33333333331</v>
      </c>
      <c r="L35" s="7">
        <v>0.1</v>
      </c>
      <c r="M35" s="4">
        <f t="shared" si="50"/>
        <v>150000</v>
      </c>
      <c r="N35" s="4">
        <f t="shared" si="51"/>
        <v>333333.33333333331</v>
      </c>
      <c r="O35" s="4">
        <f>I35*$S$1</f>
        <v>0</v>
      </c>
      <c r="P35" s="5">
        <f t="shared" si="53"/>
        <v>8480000</v>
      </c>
      <c r="Q35" s="4">
        <f>N35-K35</f>
        <v>0</v>
      </c>
      <c r="R35" s="4">
        <f t="shared" si="46"/>
        <v>10000000</v>
      </c>
      <c r="S35" s="6">
        <f t="shared" si="55"/>
        <v>-924962.75259644759</v>
      </c>
      <c r="T35" s="12">
        <f t="shared" si="56"/>
        <v>0.22063320018971419</v>
      </c>
    </row>
    <row r="36" spans="1:20" ht="18" x14ac:dyDescent="0.45">
      <c r="A36" s="2">
        <v>0.1</v>
      </c>
      <c r="B36" s="9">
        <v>6</v>
      </c>
      <c r="C36" s="2">
        <v>0.122</v>
      </c>
      <c r="D36" s="2">
        <f t="shared" si="47"/>
        <v>5.000000000000001E-2</v>
      </c>
      <c r="E36" s="3">
        <v>10000000</v>
      </c>
      <c r="F36" s="2">
        <v>0.1</v>
      </c>
      <c r="G36" s="8">
        <v>0.1971105906652644</v>
      </c>
      <c r="H36" s="10">
        <v>1</v>
      </c>
      <c r="I36" s="3">
        <f t="shared" si="48"/>
        <v>10000000</v>
      </c>
      <c r="J36" s="11">
        <v>12</v>
      </c>
      <c r="K36" s="4">
        <f t="shared" si="49"/>
        <v>500000</v>
      </c>
      <c r="L36" s="7">
        <v>0.1</v>
      </c>
      <c r="M36" s="4">
        <f t="shared" si="50"/>
        <v>150000</v>
      </c>
      <c r="N36" s="4">
        <f t="shared" si="51"/>
        <v>500000.00000000012</v>
      </c>
      <c r="O36" s="4">
        <f t="shared" ref="O36:O43" si="58">I36*$S$1</f>
        <v>0</v>
      </c>
      <c r="P36" s="5">
        <f t="shared" si="53"/>
        <v>8480000</v>
      </c>
      <c r="Q36" s="4">
        <f>N36-K36</f>
        <v>0</v>
      </c>
      <c r="R36" s="4">
        <f t="shared" si="46"/>
        <v>10000000</v>
      </c>
      <c r="S36" s="6">
        <f t="shared" si="55"/>
        <v>-924962.75259644759</v>
      </c>
      <c r="T36" s="12">
        <f t="shared" si="56"/>
        <v>0.22063320018971419</v>
      </c>
    </row>
    <row r="37" spans="1:20" ht="18" x14ac:dyDescent="0.45">
      <c r="A37" s="2">
        <v>0.1</v>
      </c>
      <c r="B37" s="9">
        <v>8</v>
      </c>
      <c r="C37" s="2">
        <v>0.122</v>
      </c>
      <c r="D37" s="2">
        <f t="shared" si="47"/>
        <v>6.6666666666666666E-2</v>
      </c>
      <c r="E37" s="3">
        <v>10000000</v>
      </c>
      <c r="F37" s="2">
        <v>0.1</v>
      </c>
      <c r="G37" s="8">
        <v>0.19711059066527073</v>
      </c>
      <c r="H37" s="10">
        <v>2</v>
      </c>
      <c r="I37" s="3">
        <f t="shared" si="48"/>
        <v>20000000</v>
      </c>
      <c r="J37" s="11">
        <v>12</v>
      </c>
      <c r="K37" s="4">
        <f t="shared" si="49"/>
        <v>666666.66666666663</v>
      </c>
      <c r="L37" s="7">
        <v>0.1</v>
      </c>
      <c r="M37" s="4">
        <f t="shared" si="50"/>
        <v>300000</v>
      </c>
      <c r="N37" s="4">
        <f t="shared" si="51"/>
        <v>666666.66666666663</v>
      </c>
      <c r="O37" s="4">
        <f t="shared" si="58"/>
        <v>0</v>
      </c>
      <c r="P37" s="5">
        <f t="shared" si="53"/>
        <v>8480000</v>
      </c>
      <c r="Q37" s="4">
        <f>N37-K37</f>
        <v>0</v>
      </c>
      <c r="R37" s="4">
        <f t="shared" si="46"/>
        <v>20000000</v>
      </c>
      <c r="S37" s="6">
        <f t="shared" si="55"/>
        <v>-1849925.5051929005</v>
      </c>
      <c r="T37" s="12">
        <f t="shared" si="56"/>
        <v>0.22063320018972621</v>
      </c>
    </row>
    <row r="38" spans="1:20" ht="18" x14ac:dyDescent="0.45">
      <c r="A38" s="2">
        <v>0.15</v>
      </c>
      <c r="B38" s="9">
        <v>12</v>
      </c>
      <c r="C38" s="2">
        <v>0.122</v>
      </c>
      <c r="D38" s="2">
        <f t="shared" si="47"/>
        <v>0.15</v>
      </c>
      <c r="E38" s="3">
        <v>10000000</v>
      </c>
      <c r="F38" s="2">
        <v>0.1</v>
      </c>
      <c r="G38" s="8">
        <v>0.14731976357814339</v>
      </c>
      <c r="H38" s="10">
        <v>2</v>
      </c>
      <c r="I38" s="3">
        <f t="shared" si="48"/>
        <v>20000000</v>
      </c>
      <c r="J38" s="11">
        <v>12</v>
      </c>
      <c r="K38" s="4">
        <f t="shared" si="49"/>
        <v>1000000</v>
      </c>
      <c r="L38" s="7">
        <v>0.1</v>
      </c>
      <c r="M38" s="4">
        <f t="shared" si="50"/>
        <v>300000</v>
      </c>
      <c r="N38" s="4">
        <f t="shared" si="51"/>
        <v>1500000</v>
      </c>
      <c r="O38" s="4">
        <f t="shared" si="58"/>
        <v>0</v>
      </c>
      <c r="P38" s="5">
        <f t="shared" si="53"/>
        <v>8480000</v>
      </c>
      <c r="Q38" s="4">
        <f t="shared" ref="Q38:Q43" si="59">N38-K38</f>
        <v>500000</v>
      </c>
      <c r="R38" s="4">
        <f t="shared" si="46"/>
        <v>19500000</v>
      </c>
      <c r="S38" s="6">
        <f t="shared" si="55"/>
        <v>-1802637.7685630855</v>
      </c>
      <c r="T38" s="12">
        <f t="shared" si="56"/>
        <v>0.22013242470466027</v>
      </c>
    </row>
    <row r="39" spans="1:20" ht="18" x14ac:dyDescent="0.45">
      <c r="A39" s="2">
        <v>0.15</v>
      </c>
      <c r="B39" s="9">
        <v>15</v>
      </c>
      <c r="C39" s="2">
        <v>0.122</v>
      </c>
      <c r="D39" s="2">
        <f t="shared" si="47"/>
        <v>0.1875</v>
      </c>
      <c r="E39" s="3">
        <v>10000000</v>
      </c>
      <c r="F39" s="2">
        <v>0.1</v>
      </c>
      <c r="G39" s="8">
        <v>0.15567059985146137</v>
      </c>
      <c r="H39" s="10">
        <v>3</v>
      </c>
      <c r="I39" s="3">
        <f t="shared" si="48"/>
        <v>30000000</v>
      </c>
      <c r="J39" s="11">
        <v>12</v>
      </c>
      <c r="K39" s="4">
        <f t="shared" si="49"/>
        <v>1250000</v>
      </c>
      <c r="L39" s="7">
        <v>0.1</v>
      </c>
      <c r="M39" s="4">
        <f t="shared" si="50"/>
        <v>450000</v>
      </c>
      <c r="N39" s="4">
        <f t="shared" si="51"/>
        <v>1875000</v>
      </c>
      <c r="O39" s="4">
        <f t="shared" si="58"/>
        <v>0</v>
      </c>
      <c r="P39" s="5">
        <f t="shared" si="53"/>
        <v>8480000</v>
      </c>
      <c r="Q39" s="4">
        <f t="shared" si="59"/>
        <v>625000</v>
      </c>
      <c r="R39" s="4">
        <f t="shared" si="46"/>
        <v>29375000</v>
      </c>
      <c r="S39" s="6">
        <f t="shared" si="55"/>
        <v>-2715783.2495887578</v>
      </c>
      <c r="T39" s="12">
        <f t="shared" si="56"/>
        <v>0.22022090949796871</v>
      </c>
    </row>
    <row r="40" spans="1:20" ht="18" x14ac:dyDescent="0.45">
      <c r="A40" s="2">
        <v>0.15</v>
      </c>
      <c r="B40" s="9">
        <v>18</v>
      </c>
      <c r="C40" s="2">
        <v>0.122</v>
      </c>
      <c r="D40" s="2">
        <f t="shared" si="47"/>
        <v>0.22499999999999998</v>
      </c>
      <c r="E40" s="3">
        <v>10000000</v>
      </c>
      <c r="F40" s="2">
        <v>0.1</v>
      </c>
      <c r="G40" s="8">
        <v>0.1473197635781496</v>
      </c>
      <c r="H40" s="10">
        <v>3</v>
      </c>
      <c r="I40" s="3">
        <f t="shared" si="48"/>
        <v>30000000</v>
      </c>
      <c r="J40" s="11">
        <v>12</v>
      </c>
      <c r="K40" s="4">
        <f t="shared" si="49"/>
        <v>1500000</v>
      </c>
      <c r="L40" s="7">
        <v>0.1</v>
      </c>
      <c r="M40" s="4">
        <f t="shared" si="50"/>
        <v>450000</v>
      </c>
      <c r="N40" s="4">
        <f t="shared" si="51"/>
        <v>2250000</v>
      </c>
      <c r="O40" s="4">
        <f t="shared" si="58"/>
        <v>0</v>
      </c>
      <c r="P40" s="5">
        <f t="shared" si="53"/>
        <v>8480000</v>
      </c>
      <c r="Q40" s="4">
        <f t="shared" si="59"/>
        <v>750000</v>
      </c>
      <c r="R40" s="4">
        <f t="shared" si="46"/>
        <v>29250000</v>
      </c>
      <c r="S40" s="6">
        <f t="shared" si="55"/>
        <v>-2703956.6528446362</v>
      </c>
      <c r="T40" s="12">
        <f t="shared" si="56"/>
        <v>0.22013242470466374</v>
      </c>
    </row>
    <row r="41" spans="1:20" ht="18" x14ac:dyDescent="0.45">
      <c r="A41" s="2">
        <v>0.15</v>
      </c>
      <c r="B41" s="9">
        <v>24</v>
      </c>
      <c r="C41" s="2">
        <v>0.122</v>
      </c>
      <c r="D41" s="2">
        <f t="shared" si="47"/>
        <v>0.3</v>
      </c>
      <c r="E41" s="3">
        <v>10000000</v>
      </c>
      <c r="F41" s="2">
        <v>0.1</v>
      </c>
      <c r="G41" s="8">
        <v>0.13056742951182895</v>
      </c>
      <c r="H41" s="10">
        <v>3</v>
      </c>
      <c r="I41" s="3">
        <f t="shared" si="48"/>
        <v>30000000</v>
      </c>
      <c r="J41" s="11">
        <v>12</v>
      </c>
      <c r="K41" s="4">
        <f t="shared" si="49"/>
        <v>2000000</v>
      </c>
      <c r="L41" s="7">
        <v>0.1</v>
      </c>
      <c r="M41" s="4">
        <f t="shared" si="50"/>
        <v>450000</v>
      </c>
      <c r="N41" s="4">
        <f t="shared" si="51"/>
        <v>3000000</v>
      </c>
      <c r="O41" s="4">
        <f t="shared" si="58"/>
        <v>0</v>
      </c>
      <c r="P41" s="5">
        <f t="shared" si="53"/>
        <v>8480000</v>
      </c>
      <c r="Q41" s="4">
        <f t="shared" si="59"/>
        <v>1000000</v>
      </c>
      <c r="R41" s="4">
        <f t="shared" si="46"/>
        <v>29000000</v>
      </c>
      <c r="S41" s="6">
        <f t="shared" si="55"/>
        <v>-2680316.9906520466</v>
      </c>
      <c r="T41" s="12">
        <f t="shared" si="56"/>
        <v>0.21996277223531668</v>
      </c>
    </row>
    <row r="42" spans="1:20" ht="18" x14ac:dyDescent="0.45">
      <c r="A42" s="2">
        <v>0.1</v>
      </c>
      <c r="B42" s="9">
        <v>4</v>
      </c>
      <c r="C42" s="2">
        <v>0.122</v>
      </c>
      <c r="D42" s="2">
        <f t="shared" si="47"/>
        <v>3.3333333333333333E-2</v>
      </c>
      <c r="E42" s="3">
        <v>10000000</v>
      </c>
      <c r="F42" s="2">
        <v>0.1</v>
      </c>
      <c r="G42" s="8">
        <v>0.19711059066528411</v>
      </c>
      <c r="H42" s="10">
        <v>0.7</v>
      </c>
      <c r="I42" s="3">
        <f>H42*E42</f>
        <v>7000000</v>
      </c>
      <c r="J42" s="11">
        <v>12</v>
      </c>
      <c r="K42" s="4">
        <f t="shared" si="49"/>
        <v>333333.33333333331</v>
      </c>
      <c r="L42" s="7">
        <v>0.1</v>
      </c>
      <c r="M42" s="4">
        <f t="shared" si="50"/>
        <v>105000</v>
      </c>
      <c r="N42" s="4">
        <f t="shared" si="51"/>
        <v>333333.33333333331</v>
      </c>
      <c r="O42" s="4">
        <f t="shared" si="58"/>
        <v>0</v>
      </c>
      <c r="P42" s="5">
        <f t="shared" si="53"/>
        <v>8480000</v>
      </c>
      <c r="Q42" s="4">
        <f t="shared" si="59"/>
        <v>0</v>
      </c>
      <c r="R42" s="4">
        <f t="shared" si="46"/>
        <v>7000000</v>
      </c>
      <c r="S42" s="6">
        <f t="shared" si="55"/>
        <v>-647473.92681751959</v>
      </c>
      <c r="T42" s="12">
        <f t="shared" si="56"/>
        <v>0.22063320018973709</v>
      </c>
    </row>
    <row r="43" spans="1:20" ht="18" x14ac:dyDescent="0.45">
      <c r="A43" s="2">
        <v>0.1</v>
      </c>
      <c r="B43" s="9">
        <v>6</v>
      </c>
      <c r="C43" s="2">
        <v>0.122</v>
      </c>
      <c r="D43" s="2">
        <f t="shared" si="47"/>
        <v>5.000000000000001E-2</v>
      </c>
      <c r="E43" s="3">
        <v>10000000</v>
      </c>
      <c r="F43" s="2">
        <v>0.1</v>
      </c>
      <c r="G43" s="8">
        <v>0.20948630813095639</v>
      </c>
      <c r="H43" s="10">
        <v>0.5</v>
      </c>
      <c r="I43" s="3">
        <f t="shared" ref="I43" si="60">H43*E43</f>
        <v>5000000</v>
      </c>
      <c r="J43" s="11">
        <v>24</v>
      </c>
      <c r="K43" s="4">
        <f t="shared" si="49"/>
        <v>500000</v>
      </c>
      <c r="L43" s="7">
        <v>0.1</v>
      </c>
      <c r="M43" s="4">
        <f t="shared" si="50"/>
        <v>150000</v>
      </c>
      <c r="N43" s="4">
        <f t="shared" si="51"/>
        <v>500000.00000000012</v>
      </c>
      <c r="O43" s="4">
        <f t="shared" si="58"/>
        <v>0</v>
      </c>
      <c r="P43" s="5">
        <f t="shared" si="53"/>
        <v>8480000</v>
      </c>
      <c r="Q43" s="4">
        <f t="shared" si="59"/>
        <v>0</v>
      </c>
      <c r="R43" s="4">
        <f t="shared" si="46"/>
        <v>5000000</v>
      </c>
      <c r="S43" s="6">
        <f t="shared" si="55"/>
        <v>-256802.11542944898</v>
      </c>
      <c r="T43" s="12">
        <f t="shared" si="56"/>
        <v>0.2296706304388402</v>
      </c>
    </row>
  </sheetData>
  <autoFilter ref="A1:T4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"/>
  <sheetViews>
    <sheetView rightToLeft="1" topLeftCell="A4" workbookViewId="0">
      <selection activeCell="G1" sqref="G1:G10"/>
    </sheetView>
  </sheetViews>
  <sheetFormatPr defaultRowHeight="14.25" x14ac:dyDescent="0.2"/>
  <cols>
    <col min="3" max="3" width="16.75" customWidth="1"/>
  </cols>
  <sheetData>
    <row r="1" spans="1:7" ht="21.75" thickBot="1" x14ac:dyDescent="0.25">
      <c r="A1" s="31" t="s">
        <v>19</v>
      </c>
      <c r="B1" s="32" t="s">
        <v>20</v>
      </c>
      <c r="C1" s="32" t="s">
        <v>21</v>
      </c>
      <c r="D1" t="str">
        <f>LEFT(A1,2)</f>
        <v xml:space="preserve">4 </v>
      </c>
      <c r="E1" t="str">
        <f>LEFT(B1,2)</f>
        <v xml:space="preserve">7 </v>
      </c>
      <c r="F1" t="str">
        <f>LEFT(C1,2)</f>
        <v xml:space="preserve">4 </v>
      </c>
      <c r="G1">
        <f>F1/100</f>
        <v>0.04</v>
      </c>
    </row>
    <row r="2" spans="1:7" ht="21.75" thickBot="1" x14ac:dyDescent="0.25">
      <c r="A2" s="33" t="s">
        <v>22</v>
      </c>
      <c r="B2" s="34" t="s">
        <v>23</v>
      </c>
      <c r="C2" s="34" t="s">
        <v>24</v>
      </c>
      <c r="D2" t="str">
        <f t="shared" ref="D2:F9" si="0">LEFT(A2,2)</f>
        <v xml:space="preserve">5 </v>
      </c>
      <c r="E2" t="str">
        <f t="shared" si="0"/>
        <v>10</v>
      </c>
      <c r="F2" t="str">
        <f t="shared" si="0"/>
        <v xml:space="preserve">5 </v>
      </c>
      <c r="G2">
        <f t="shared" ref="G2:G10" si="1">F2/100</f>
        <v>0.05</v>
      </c>
    </row>
    <row r="3" spans="1:7" ht="21.75" thickBot="1" x14ac:dyDescent="0.25">
      <c r="A3" s="35" t="s">
        <v>25</v>
      </c>
      <c r="B3" s="36" t="s">
        <v>26</v>
      </c>
      <c r="C3" s="36" t="s">
        <v>27</v>
      </c>
      <c r="D3" t="str">
        <f t="shared" si="0"/>
        <v xml:space="preserve">6 </v>
      </c>
      <c r="E3" t="str">
        <f t="shared" si="0"/>
        <v>12</v>
      </c>
      <c r="F3" t="str">
        <f t="shared" si="0"/>
        <v xml:space="preserve">6 </v>
      </c>
      <c r="G3">
        <f t="shared" si="1"/>
        <v>0.06</v>
      </c>
    </row>
    <row r="4" spans="1:7" ht="21.75" thickBot="1" x14ac:dyDescent="0.25">
      <c r="A4" s="33" t="s">
        <v>20</v>
      </c>
      <c r="B4" s="34" t="s">
        <v>28</v>
      </c>
      <c r="C4" s="34" t="s">
        <v>29</v>
      </c>
      <c r="D4" t="str">
        <f t="shared" si="0"/>
        <v xml:space="preserve">7 </v>
      </c>
      <c r="E4" t="str">
        <f t="shared" si="0"/>
        <v>14</v>
      </c>
      <c r="F4" t="str">
        <f t="shared" si="0"/>
        <v xml:space="preserve">7 </v>
      </c>
      <c r="G4">
        <f t="shared" si="1"/>
        <v>7.0000000000000007E-2</v>
      </c>
    </row>
    <row r="5" spans="1:7" ht="21.75" thickBot="1" x14ac:dyDescent="0.25">
      <c r="A5" s="35" t="s">
        <v>30</v>
      </c>
      <c r="B5" s="36" t="s">
        <v>31</v>
      </c>
      <c r="C5" s="36" t="s">
        <v>32</v>
      </c>
      <c r="D5" t="str">
        <f t="shared" si="0"/>
        <v xml:space="preserve">8 </v>
      </c>
      <c r="E5" t="str">
        <f t="shared" si="0"/>
        <v>16</v>
      </c>
      <c r="F5" t="str">
        <f t="shared" si="0"/>
        <v xml:space="preserve">8 </v>
      </c>
      <c r="G5">
        <f t="shared" si="1"/>
        <v>0.08</v>
      </c>
    </row>
    <row r="6" spans="1:7" ht="21.75" thickBot="1" x14ac:dyDescent="0.25">
      <c r="A6" s="33" t="s">
        <v>30</v>
      </c>
      <c r="B6" s="34" t="s">
        <v>33</v>
      </c>
      <c r="C6" s="34" t="s">
        <v>34</v>
      </c>
      <c r="D6" t="str">
        <f t="shared" si="0"/>
        <v xml:space="preserve">8 </v>
      </c>
      <c r="E6" t="str">
        <f t="shared" si="0"/>
        <v>20</v>
      </c>
      <c r="F6" t="str">
        <f t="shared" si="0"/>
        <v xml:space="preserve">9 </v>
      </c>
      <c r="G6">
        <f t="shared" si="1"/>
        <v>0.09</v>
      </c>
    </row>
    <row r="7" spans="1:7" ht="21.75" thickBot="1" x14ac:dyDescent="0.25">
      <c r="A7" s="35" t="s">
        <v>35</v>
      </c>
      <c r="B7" s="36" t="s">
        <v>36</v>
      </c>
      <c r="C7" s="36" t="s">
        <v>37</v>
      </c>
      <c r="D7" t="str">
        <f t="shared" si="0"/>
        <v xml:space="preserve">9 </v>
      </c>
      <c r="E7" t="str">
        <f t="shared" si="0"/>
        <v>24</v>
      </c>
      <c r="F7" t="str">
        <f t="shared" si="0"/>
        <v>10</v>
      </c>
      <c r="G7">
        <f t="shared" si="1"/>
        <v>0.1</v>
      </c>
    </row>
    <row r="8" spans="1:7" ht="21.75" thickBot="1" x14ac:dyDescent="0.25">
      <c r="A8" s="33" t="s">
        <v>23</v>
      </c>
      <c r="B8" s="34" t="s">
        <v>38</v>
      </c>
      <c r="C8" s="34" t="s">
        <v>39</v>
      </c>
      <c r="D8" t="str">
        <f t="shared" si="0"/>
        <v>10</v>
      </c>
      <c r="E8" t="str">
        <f t="shared" si="0"/>
        <v>28</v>
      </c>
      <c r="F8" t="str">
        <f t="shared" si="0"/>
        <v>11</v>
      </c>
      <c r="G8">
        <f t="shared" si="1"/>
        <v>0.11</v>
      </c>
    </row>
    <row r="9" spans="1:7" ht="21.75" thickBot="1" x14ac:dyDescent="0.25">
      <c r="A9" s="35" t="s">
        <v>23</v>
      </c>
      <c r="B9" s="36" t="s">
        <v>40</v>
      </c>
      <c r="C9" s="36" t="s">
        <v>41</v>
      </c>
      <c r="D9" t="str">
        <f t="shared" si="0"/>
        <v>10</v>
      </c>
      <c r="E9" t="str">
        <f t="shared" si="0"/>
        <v>32</v>
      </c>
      <c r="F9" t="str">
        <f t="shared" si="0"/>
        <v>12</v>
      </c>
      <c r="G9">
        <f t="shared" si="1"/>
        <v>0.12</v>
      </c>
    </row>
    <row r="10" spans="1:7" ht="21.75" thickBot="1" x14ac:dyDescent="0.25">
      <c r="A10" s="33" t="s">
        <v>42</v>
      </c>
      <c r="B10" s="34" t="s">
        <v>43</v>
      </c>
      <c r="C10" s="34" t="s">
        <v>44</v>
      </c>
      <c r="D10" t="str">
        <f>LEFT(A10,2)</f>
        <v>10</v>
      </c>
      <c r="E10" t="str">
        <f>LEFT(B10,2)</f>
        <v>36</v>
      </c>
      <c r="F10" t="str">
        <f>LEFT(C10,2)</f>
        <v>14</v>
      </c>
      <c r="G10">
        <f t="shared" si="1"/>
        <v>0.14000000000000001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سناریو بدون وثیقه</vt:lpstr>
      <vt:lpstr>Sheet3</vt:lpstr>
      <vt:lpstr>Sheet2</vt:lpstr>
      <vt:lpstr>سناریو با وثیقه</vt:lpstr>
      <vt:lpstr>Sheet1</vt:lpstr>
      <vt:lpstr>Sheet3!Print_Area</vt:lpstr>
      <vt:lpstr>'سناریو بدون وثیقه'!Print_Area</vt:lpstr>
    </vt:vector>
  </TitlesOfParts>
  <Company>MRT www.Win2Farsi.com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بهروز ساعی</dc:creator>
  <cp:lastModifiedBy>as.saadat</cp:lastModifiedBy>
  <cp:lastPrinted>2020-12-14T08:46:38Z</cp:lastPrinted>
  <dcterms:created xsi:type="dcterms:W3CDTF">2018-02-04T05:38:39Z</dcterms:created>
  <dcterms:modified xsi:type="dcterms:W3CDTF">2021-05-03T04:07:13Z</dcterms:modified>
</cp:coreProperties>
</file>